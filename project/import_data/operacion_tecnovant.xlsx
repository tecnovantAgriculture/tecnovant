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3.xml" ContentType="application/vnd.openxmlformats-officedocument.spreadsheetml.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D:\.shortcut-targets-by-id\1yS-PoG4dR0IRAJlH9QtseyGBwVO1_6Tp\TECNOVANT\OPERACIONES TECNVOVANT\PROGRAMACIÓN Y CONTROL PRODUCCIÓN 2026\"/>
    </mc:Choice>
  </mc:AlternateContent>
  <xr:revisionPtr revIDLastSave="0" documentId="13_ncr:1_{9EED08C8-CF34-4A21-8DFC-114FD3A071B5}" xr6:coauthVersionLast="47" xr6:coauthVersionMax="47" xr10:uidLastSave="{00000000-0000-0000-0000-000000000000}"/>
  <bookViews>
    <workbookView xWindow="-110" yWindow="-110" windowWidth="24220" windowHeight="15500" tabRatio="664" xr2:uid="{00000000-000D-0000-FFFF-FFFF00000000}"/>
  </bookViews>
  <sheets>
    <sheet name="PROGRAMACIÓN" sheetId="1" r:id="rId1"/>
    <sheet name="Resumen" sheetId="2" r:id="rId2"/>
    <sheet name="FLUJO REAL" sheetId="3" r:id="rId3"/>
    <sheet name="NIT-FINCA" sheetId="4" r:id="rId4"/>
    <sheet name="INFORME" sheetId="5" r:id="rId5"/>
    <sheet name="CLIENTES" sheetId="6" r:id="rId6"/>
    <sheet name="FACTURACIÓN X FINCA" sheetId="7" r:id="rId7"/>
  </sheets>
  <externalReferences>
    <externalReference r:id="rId8"/>
  </externalReferences>
  <definedNames>
    <definedName name="_xlnm._FilterDatabase" localSheetId="2" hidden="1">'FLUJO REAL'!$A$5:$O$80</definedName>
    <definedName name="CLIENTES">Tabla2[]</definedName>
    <definedName name="TECNOVANT">PROGRAMACIÓN!$A$1:$S$45</definedName>
  </definedNames>
  <calcPr calcId="191029"/>
  <pivotCaches>
    <pivotCache cacheId="0" r:id="rId9"/>
    <pivotCache cacheId="1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5" i="1" l="1"/>
  <c r="Q75" i="1"/>
  <c r="L75" i="1"/>
  <c r="F75" i="1"/>
  <c r="Q74" i="1"/>
  <c r="L74" i="1"/>
  <c r="F74" i="1"/>
  <c r="G74" i="1" s="1"/>
  <c r="Q73" i="1"/>
  <c r="L73" i="1"/>
  <c r="F73" i="1"/>
  <c r="J73" i="1" s="1"/>
  <c r="Q72" i="1"/>
  <c r="L72" i="1"/>
  <c r="F72" i="1"/>
  <c r="J72" i="1" s="1"/>
  <c r="Q71" i="1"/>
  <c r="L71" i="1"/>
  <c r="F71" i="1"/>
  <c r="J71" i="1" s="1"/>
  <c r="Q70" i="1"/>
  <c r="L70" i="1"/>
  <c r="F70" i="1"/>
  <c r="J70" i="1" s="1"/>
  <c r="Q69" i="1"/>
  <c r="L69" i="1"/>
  <c r="F69" i="1"/>
  <c r="J69" i="1" s="1"/>
  <c r="Q68" i="1"/>
  <c r="L68" i="1"/>
  <c r="F68" i="1"/>
  <c r="J68" i="1" s="1"/>
  <c r="Q67" i="1"/>
  <c r="L67" i="1"/>
  <c r="F67" i="1"/>
  <c r="J67" i="1" s="1"/>
  <c r="Q66" i="1"/>
  <c r="L66" i="1"/>
  <c r="J66" i="1"/>
  <c r="Q64" i="1"/>
  <c r="L64" i="1"/>
  <c r="J64" i="1"/>
  <c r="G64" i="1"/>
  <c r="Q63" i="1"/>
  <c r="L63" i="1"/>
  <c r="J63" i="1"/>
  <c r="G63" i="1"/>
  <c r="Q62" i="1"/>
  <c r="L62" i="1"/>
  <c r="J62" i="1"/>
  <c r="G62" i="1"/>
  <c r="Q61" i="1"/>
  <c r="L61" i="1"/>
  <c r="J61" i="1"/>
  <c r="G61" i="1"/>
  <c r="Q60" i="1"/>
  <c r="L60" i="1"/>
  <c r="J60" i="1"/>
  <c r="G60" i="1"/>
  <c r="Q59" i="1"/>
  <c r="L59" i="1"/>
  <c r="J59" i="1"/>
  <c r="G59" i="1"/>
  <c r="Q58" i="1"/>
  <c r="L58" i="1"/>
  <c r="J58" i="1"/>
  <c r="G58" i="1"/>
  <c r="Q57" i="1"/>
  <c r="L57" i="1"/>
  <c r="J57" i="1"/>
  <c r="G57" i="1"/>
  <c r="F65" i="1"/>
  <c r="J65" i="1" s="1"/>
  <c r="L65" i="1"/>
  <c r="L56" i="1"/>
  <c r="J56" i="1"/>
  <c r="G56" i="1"/>
  <c r="Q55" i="1"/>
  <c r="L55" i="1"/>
  <c r="J55" i="1"/>
  <c r="G55" i="1"/>
  <c r="L54" i="1"/>
  <c r="J54" i="1"/>
  <c r="G54" i="1"/>
  <c r="L53" i="1"/>
  <c r="J53" i="1"/>
  <c r="G53" i="1"/>
  <c r="Q53" i="1"/>
  <c r="Q54" i="1"/>
  <c r="Q56" i="1"/>
  <c r="Q65" i="1"/>
  <c r="L52" i="1"/>
  <c r="J52" i="1"/>
  <c r="G52" i="1"/>
  <c r="L51" i="1"/>
  <c r="J51" i="1"/>
  <c r="G51" i="1"/>
  <c r="Q50" i="1"/>
  <c r="L50" i="1"/>
  <c r="J50" i="1"/>
  <c r="G50" i="1"/>
  <c r="L49" i="1"/>
  <c r="J49" i="1"/>
  <c r="L46" i="1"/>
  <c r="G49" i="1"/>
  <c r="Q49" i="1"/>
  <c r="Q51" i="1"/>
  <c r="Q52" i="1"/>
  <c r="L48" i="1"/>
  <c r="J48" i="1"/>
  <c r="G48" i="1"/>
  <c r="L47" i="1"/>
  <c r="J47" i="1"/>
  <c r="G47" i="1"/>
  <c r="J46" i="1"/>
  <c r="G46" i="1"/>
  <c r="Q47" i="1"/>
  <c r="Q48" i="1"/>
  <c r="L45" i="1"/>
  <c r="J45" i="1"/>
  <c r="G45" i="1"/>
  <c r="L44" i="1"/>
  <c r="J44" i="1"/>
  <c r="G44" i="1"/>
  <c r="L43" i="1"/>
  <c r="J43" i="1"/>
  <c r="G43" i="1"/>
  <c r="L42" i="1"/>
  <c r="J42" i="1"/>
  <c r="G42" i="1"/>
  <c r="L41" i="1"/>
  <c r="J41" i="1"/>
  <c r="G41" i="1"/>
  <c r="L40" i="1"/>
  <c r="J40" i="1"/>
  <c r="G40" i="1"/>
  <c r="L39" i="1"/>
  <c r="J39" i="1"/>
  <c r="G39" i="1"/>
  <c r="L38" i="1"/>
  <c r="J38" i="1"/>
  <c r="G38" i="1"/>
  <c r="L37" i="1"/>
  <c r="J37" i="1"/>
  <c r="G37" i="1"/>
  <c r="L36" i="1"/>
  <c r="J36" i="1"/>
  <c r="G36" i="1"/>
  <c r="L35" i="1"/>
  <c r="J35" i="1"/>
  <c r="G35" i="1"/>
  <c r="L34" i="1"/>
  <c r="J34" i="1"/>
  <c r="G34" i="1"/>
  <c r="L33" i="1"/>
  <c r="J33" i="1"/>
  <c r="G33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L31" i="1"/>
  <c r="J31" i="1"/>
  <c r="G31" i="1"/>
  <c r="Q31" i="1"/>
  <c r="L32" i="1"/>
  <c r="J32" i="1"/>
  <c r="G32" i="1"/>
  <c r="J30" i="1"/>
  <c r="G30" i="1"/>
  <c r="L30" i="1"/>
  <c r="Q30" i="1"/>
  <c r="Q32" i="1"/>
  <c r="J29" i="1"/>
  <c r="G29" i="1"/>
  <c r="J28" i="1"/>
  <c r="G28" i="1"/>
  <c r="J27" i="1"/>
  <c r="G27" i="1"/>
  <c r="L28" i="1"/>
  <c r="L29" i="1"/>
  <c r="Q28" i="1"/>
  <c r="Q29" i="1"/>
  <c r="J26" i="1"/>
  <c r="G26" i="1"/>
  <c r="L26" i="1"/>
  <c r="Q26" i="1"/>
  <c r="L27" i="1"/>
  <c r="Q27" i="1"/>
  <c r="J24" i="1"/>
  <c r="G24" i="1"/>
  <c r="J23" i="1"/>
  <c r="G23" i="1"/>
  <c r="J22" i="1"/>
  <c r="G22" i="1"/>
  <c r="L23" i="1"/>
  <c r="Q23" i="1"/>
  <c r="J21" i="1"/>
  <c r="J20" i="1"/>
  <c r="G21" i="1"/>
  <c r="G20" i="1"/>
  <c r="L21" i="1"/>
  <c r="L22" i="1"/>
  <c r="Q21" i="1"/>
  <c r="Q22" i="1"/>
  <c r="L20" i="1"/>
  <c r="L24" i="1"/>
  <c r="Q20" i="1"/>
  <c r="Q24" i="1"/>
  <c r="G25" i="1"/>
  <c r="J19" i="1"/>
  <c r="G19" i="1"/>
  <c r="J18" i="1"/>
  <c r="G18" i="1"/>
  <c r="L11" i="1"/>
  <c r="J11" i="1"/>
  <c r="G11" i="1"/>
  <c r="Q11" i="1"/>
  <c r="J17" i="1"/>
  <c r="G17" i="1"/>
  <c r="J16" i="1"/>
  <c r="G16" i="1"/>
  <c r="L16" i="1"/>
  <c r="L17" i="1"/>
  <c r="L18" i="1"/>
  <c r="L19" i="1"/>
  <c r="Q16" i="1"/>
  <c r="Q17" i="1"/>
  <c r="Q18" i="1"/>
  <c r="Q19" i="1"/>
  <c r="G15" i="1"/>
  <c r="G14" i="1"/>
  <c r="G13" i="1"/>
  <c r="G12" i="1"/>
  <c r="G10" i="1"/>
  <c r="G9" i="1"/>
  <c r="G8" i="1"/>
  <c r="G7" i="1"/>
  <c r="G6" i="1"/>
  <c r="J25" i="1"/>
  <c r="J15" i="1"/>
  <c r="J14" i="1"/>
  <c r="J13" i="1"/>
  <c r="J12" i="1"/>
  <c r="J10" i="1"/>
  <c r="J9" i="1"/>
  <c r="J8" i="1"/>
  <c r="J7" i="1"/>
  <c r="J6" i="1"/>
  <c r="L2" i="1"/>
  <c r="L3" i="1"/>
  <c r="L4" i="1"/>
  <c r="L5" i="1"/>
  <c r="L6" i="1"/>
  <c r="L7" i="1"/>
  <c r="L8" i="1"/>
  <c r="L9" i="1"/>
  <c r="L10" i="1"/>
  <c r="L12" i="1"/>
  <c r="L13" i="1"/>
  <c r="L14" i="1"/>
  <c r="L15" i="1"/>
  <c r="L25" i="1"/>
  <c r="G3" i="1"/>
  <c r="J3" i="1"/>
  <c r="Q3" i="1"/>
  <c r="G4" i="1"/>
  <c r="J4" i="1"/>
  <c r="Q4" i="1"/>
  <c r="G5" i="1"/>
  <c r="J5" i="1"/>
  <c r="Q5" i="1"/>
  <c r="Q2" i="1"/>
  <c r="R2" i="1" s="1"/>
  <c r="Q6" i="1"/>
  <c r="Q7" i="1"/>
  <c r="Q8" i="1"/>
  <c r="Q9" i="1"/>
  <c r="Q10" i="1"/>
  <c r="Q12" i="1"/>
  <c r="Q13" i="1"/>
  <c r="Q14" i="1"/>
  <c r="Q15" i="1"/>
  <c r="Q25" i="1"/>
  <c r="J75" i="1" l="1"/>
  <c r="J74" i="1"/>
  <c r="G73" i="1"/>
  <c r="G72" i="1"/>
  <c r="G71" i="1"/>
  <c r="G70" i="1"/>
  <c r="G69" i="1"/>
  <c r="G68" i="1"/>
  <c r="G67" i="1"/>
  <c r="G66" i="1"/>
  <c r="G65" i="1"/>
  <c r="B54" i="5"/>
  <c r="H78" i="3"/>
  <c r="G78" i="3"/>
  <c r="F78" i="3"/>
  <c r="E78" i="3"/>
  <c r="D78" i="3"/>
  <c r="F70" i="3"/>
  <c r="B69" i="3"/>
  <c r="B74" i="3" s="1"/>
  <c r="I62" i="3"/>
  <c r="F61" i="3"/>
  <c r="I58" i="3"/>
  <c r="G57" i="3"/>
  <c r="O53" i="3"/>
  <c r="N53" i="3"/>
  <c r="M53" i="3"/>
  <c r="L53" i="3"/>
  <c r="K53" i="3"/>
  <c r="J53" i="3"/>
  <c r="I53" i="3"/>
  <c r="H53" i="3"/>
  <c r="H79" i="3" s="1"/>
  <c r="G53" i="3"/>
  <c r="F53" i="3"/>
  <c r="E53" i="3"/>
  <c r="D53" i="3"/>
  <c r="O52" i="3"/>
  <c r="N52" i="3"/>
  <c r="M52" i="3"/>
  <c r="L52" i="3"/>
  <c r="K52" i="3"/>
  <c r="J52" i="3"/>
  <c r="I52" i="3"/>
  <c r="H52" i="3"/>
  <c r="G52" i="3"/>
  <c r="F52" i="3"/>
  <c r="E52" i="3"/>
  <c r="E79" i="3" s="1"/>
  <c r="D52" i="3"/>
  <c r="D69" i="3" s="1"/>
  <c r="O49" i="3"/>
  <c r="O69" i="3" s="1"/>
  <c r="O74" i="3" s="1"/>
  <c r="N49" i="3"/>
  <c r="N69" i="3" s="1"/>
  <c r="N74" i="3" s="1"/>
  <c r="M49" i="3"/>
  <c r="L49" i="3"/>
  <c r="K49" i="3"/>
  <c r="J49" i="3"/>
  <c r="J43" i="3"/>
  <c r="F42" i="3"/>
  <c r="F79" i="3" s="1"/>
  <c r="Z41" i="3"/>
  <c r="Y41" i="3"/>
  <c r="AB40" i="3"/>
  <c r="AB39" i="3"/>
  <c r="X39" i="3"/>
  <c r="AB38" i="3"/>
  <c r="AB37" i="3"/>
  <c r="AB36" i="3"/>
  <c r="AB34" i="3"/>
  <c r="AB33" i="3"/>
  <c r="AB32" i="3"/>
  <c r="AB31" i="3"/>
  <c r="AB30" i="3"/>
  <c r="X30" i="3"/>
  <c r="X41" i="3" s="1"/>
  <c r="D67" i="3" s="1"/>
  <c r="AB29" i="3"/>
  <c r="AB28" i="3"/>
  <c r="AB27" i="3"/>
  <c r="AB24" i="3"/>
  <c r="AB23" i="3"/>
  <c r="AB22" i="3"/>
  <c r="H22" i="3"/>
  <c r="E22" i="3"/>
  <c r="AB21" i="3"/>
  <c r="W21" i="3"/>
  <c r="AB20" i="3"/>
  <c r="AB19" i="3"/>
  <c r="W19" i="3"/>
  <c r="AB18" i="3"/>
  <c r="W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B19" i="3" s="1"/>
  <c r="AB17" i="3"/>
  <c r="AI16" i="3"/>
  <c r="AB16" i="3"/>
  <c r="AB15" i="3"/>
  <c r="AB14" i="3"/>
  <c r="W14" i="3"/>
  <c r="AB13" i="3"/>
  <c r="W13" i="3"/>
  <c r="AB12" i="3"/>
  <c r="AB11" i="3"/>
  <c r="AB10" i="3"/>
  <c r="AB9" i="3"/>
  <c r="C6" i="3"/>
  <c r="D6" i="3" s="1"/>
  <c r="E6" i="3" s="1"/>
  <c r="F6" i="3" s="1"/>
  <c r="G6" i="3" s="1"/>
  <c r="H6" i="3" s="1"/>
  <c r="I6" i="3" s="1"/>
  <c r="J6" i="3" s="1"/>
  <c r="K6" i="3" s="1"/>
  <c r="L6" i="3" s="1"/>
  <c r="M6" i="3" s="1"/>
  <c r="N6" i="3" s="1"/>
  <c r="O6" i="3" s="1"/>
  <c r="T3" i="3"/>
  <c r="J2" i="1"/>
  <c r="G2" i="1"/>
  <c r="B55" i="5"/>
  <c r="E69" i="3" l="1"/>
  <c r="E74" i="3" s="1"/>
  <c r="D79" i="3"/>
  <c r="L69" i="3"/>
  <c r="L74" i="3" s="1"/>
  <c r="B75" i="3"/>
  <c r="C7" i="3" s="1"/>
  <c r="C19" i="3" s="1"/>
  <c r="C75" i="3" s="1"/>
  <c r="M69" i="3"/>
  <c r="M74" i="3" s="1"/>
  <c r="I69" i="3"/>
  <c r="I74" i="3" s="1"/>
  <c r="J69" i="3"/>
  <c r="J74" i="3" s="1"/>
  <c r="W41" i="3"/>
  <c r="C67" i="3" s="1"/>
  <c r="C69" i="3" s="1"/>
  <c r="C74" i="3" s="1"/>
  <c r="F69" i="3"/>
  <c r="F74" i="3" s="1"/>
  <c r="AB41" i="3"/>
  <c r="H69" i="3"/>
  <c r="H74" i="3" s="1"/>
  <c r="K69" i="3"/>
  <c r="K74" i="3" s="1"/>
  <c r="G69" i="3"/>
  <c r="G74" i="3" s="1"/>
  <c r="G79" i="3"/>
  <c r="D7" i="3" l="1"/>
  <c r="D19" i="3" s="1"/>
  <c r="D74" i="3"/>
  <c r="D75" i="3" l="1"/>
  <c r="E7" i="3" s="1"/>
  <c r="E19" i="3" s="1"/>
  <c r="E75" i="3" s="1"/>
  <c r="F7" i="3" s="1"/>
  <c r="F19" i="3" s="1"/>
  <c r="F75" i="3" s="1"/>
  <c r="G7" i="3" s="1"/>
  <c r="G19" i="3" s="1"/>
  <c r="G75" i="3" s="1"/>
  <c r="H7" i="3" s="1"/>
  <c r="H19" i="3" s="1"/>
  <c r="H75" i="3" s="1"/>
  <c r="I7" i="3" s="1"/>
  <c r="I19" i="3" s="1"/>
  <c r="I75" i="3" s="1"/>
  <c r="J7" i="3" s="1"/>
  <c r="J19" i="3" s="1"/>
  <c r="J75" i="3" s="1"/>
  <c r="K7" i="3" s="1"/>
  <c r="K19" i="3" s="1"/>
  <c r="K75" i="3" s="1"/>
  <c r="L7" i="3" s="1"/>
  <c r="L19" i="3" s="1"/>
  <c r="L75" i="3" s="1"/>
  <c r="M7" i="3" s="1"/>
  <c r="M19" i="3" s="1"/>
  <c r="M75" i="3" s="1"/>
  <c r="N7" i="3" s="1"/>
  <c r="N19" i="3" s="1"/>
  <c r="N75" i="3" s="1"/>
  <c r="O7" i="3" s="1"/>
  <c r="O19" i="3" s="1"/>
  <c r="O7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60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Compra Radios</t>
        </r>
      </text>
    </comment>
  </commentList>
</comments>
</file>

<file path=xl/sharedStrings.xml><?xml version="1.0" encoding="utf-8"?>
<sst xmlns="http://schemas.openxmlformats.org/spreadsheetml/2006/main" count="739" uniqueCount="271">
  <si>
    <t>ITEM</t>
  </si>
  <si>
    <t>FINCA</t>
  </si>
  <si>
    <t>POTRERO</t>
  </si>
  <si>
    <t>AREA</t>
  </si>
  <si>
    <t>FECHAPROGRAMACIÓN</t>
  </si>
  <si>
    <t>FECHA  EJECUCIÓN</t>
  </si>
  <si>
    <t>MES</t>
  </si>
  <si>
    <t>OBSERVACIONES</t>
  </si>
  <si>
    <t>CORTE FACTURACIÓN</t>
  </si>
  <si>
    <t>LA VEGA</t>
  </si>
  <si>
    <t>AMAZONAS</t>
  </si>
  <si>
    <t>MERCEDES</t>
  </si>
  <si>
    <t>ESPINAL</t>
  </si>
  <si>
    <t>BOGOTANOS</t>
  </si>
  <si>
    <t>SONORA</t>
  </si>
  <si>
    <t>LA LABRANTIA</t>
  </si>
  <si>
    <t>CAÑADA HONDA</t>
  </si>
  <si>
    <t>MONTE REDONDO</t>
  </si>
  <si>
    <t>PORVENIR</t>
  </si>
  <si>
    <t>EL INGENIO</t>
  </si>
  <si>
    <t>HERRERO</t>
  </si>
  <si>
    <t>CURRUCUTÚ</t>
  </si>
  <si>
    <t>MARZO</t>
  </si>
  <si>
    <t>SAN IGNACIO</t>
  </si>
  <si>
    <t>VATICANO</t>
  </si>
  <si>
    <t>Suma de Total</t>
  </si>
  <si>
    <t>Responsable</t>
  </si>
  <si>
    <t>Observaciones</t>
  </si>
  <si>
    <t>Camilo Paez</t>
  </si>
  <si>
    <t>Santiago Avendaño</t>
  </si>
  <si>
    <t>Tecnovant</t>
  </si>
  <si>
    <t>Capacitación Alejo</t>
  </si>
  <si>
    <t>Inicio Periodo</t>
  </si>
  <si>
    <t>Envíos</t>
  </si>
  <si>
    <t>Preinicio</t>
  </si>
  <si>
    <t>Herramientas</t>
  </si>
  <si>
    <r>
      <rPr>
        <b/>
        <sz val="11"/>
        <color rgb="FF000000"/>
        <rFont val="Calibri"/>
      </rPr>
      <t>Efectivo en mano</t>
    </r>
    <r>
      <rPr>
        <sz val="11"/>
        <color rgb="FF000000"/>
        <rFont val="Calibri"/>
      </rPr>
      <t xml:space="preserve"> (principio del mes)</t>
    </r>
  </si>
  <si>
    <t>Mantenimiento</t>
  </si>
  <si>
    <t>Descripción</t>
  </si>
  <si>
    <t>Diciembre</t>
  </si>
  <si>
    <t>Enero</t>
  </si>
  <si>
    <t>Febrero</t>
  </si>
  <si>
    <t>V/U</t>
  </si>
  <si>
    <t>Total</t>
  </si>
  <si>
    <t>Nomina Diciembre</t>
  </si>
  <si>
    <t>ENTRADAS DE EFECTIVO</t>
  </si>
  <si>
    <t>traslado leonardo</t>
  </si>
  <si>
    <t>Prestamo Leonardo</t>
  </si>
  <si>
    <t>Prestamo Alejandro</t>
  </si>
  <si>
    <t>COMPRA DRON (PRESTAMOS SOCIOS)</t>
  </si>
  <si>
    <t>Nómina Leo</t>
  </si>
  <si>
    <t>COMPRA BATERIA (PRESTAMOS SOCIOS)</t>
  </si>
  <si>
    <t>Prestamo Alejo</t>
  </si>
  <si>
    <t>Repuestos</t>
  </si>
  <si>
    <t>yt</t>
  </si>
  <si>
    <t>PRESTAMOS TECNOVANT</t>
  </si>
  <si>
    <t>Viaticos Capacitación Alejo</t>
  </si>
  <si>
    <t>Software</t>
  </si>
  <si>
    <t>PRESTAMOS SANTIAGO AVENDAÑO (T10)</t>
  </si>
  <si>
    <t>Capacitación Alejandro</t>
  </si>
  <si>
    <t>PRESTAMOS TIA</t>
  </si>
  <si>
    <t>Herramienta Reparaciones</t>
  </si>
  <si>
    <t>ASPERSIÓN CULTIVOS</t>
  </si>
  <si>
    <t>Montante Sprinkler</t>
  </si>
  <si>
    <t>PENDIENTE PAGOS MES ANTERIOR</t>
  </si>
  <si>
    <t>Envío montante</t>
  </si>
  <si>
    <t>TOTAL COBROS EFECTIVO</t>
  </si>
  <si>
    <t>Envío Repuestos T10</t>
  </si>
  <si>
    <t>Total disponible</t>
  </si>
  <si>
    <t>Envío (Fee) Pago Alibaba Repuestos T10</t>
  </si>
  <si>
    <t>Helices T50</t>
  </si>
  <si>
    <t>SALIDAS DE EFECTIVO</t>
  </si>
  <si>
    <t>Envío Helices</t>
  </si>
  <si>
    <t>Helices T25</t>
  </si>
  <si>
    <t>COMPRA BATERÍAS</t>
  </si>
  <si>
    <t>Envío T25 BOG-MED</t>
  </si>
  <si>
    <t>COMBUSTIBLE</t>
  </si>
  <si>
    <t>Antenas Control T25</t>
  </si>
  <si>
    <t>PEAJES</t>
  </si>
  <si>
    <t>Envío Antena</t>
  </si>
  <si>
    <t>RESTAURANTES Y CAFETERÍA</t>
  </si>
  <si>
    <t>Selenoides +Brazo M4</t>
  </si>
  <si>
    <t>Envío Selenoides</t>
  </si>
  <si>
    <t>Soporte Brazo M3</t>
  </si>
  <si>
    <t>SALARIO ALEJANDRO VASQUEZ</t>
  </si>
  <si>
    <t>Envío Soporte</t>
  </si>
  <si>
    <t>PRESTAMOS ALEJANDRO VASQUEZ</t>
  </si>
  <si>
    <t>Soporte Brazo M4 Frame Carbon Board Pair</t>
  </si>
  <si>
    <t>SALARIO CAMILO PAEZ</t>
  </si>
  <si>
    <t>SALARIO JUAN CARLOS BETANCOURT</t>
  </si>
  <si>
    <t>Envío  Repuestos Garantia T25</t>
  </si>
  <si>
    <t>SALARIO SANTIAGO AVENDAÑO</t>
  </si>
  <si>
    <t>SALARIO AUXILIAR CONTABILIDAD</t>
  </si>
  <si>
    <t>Envío T50</t>
  </si>
  <si>
    <t>SALARIO DIANA CONTABILIDAD</t>
  </si>
  <si>
    <t>Envío Batería Garantía</t>
  </si>
  <si>
    <t>Herramientas y mantto T10</t>
  </si>
  <si>
    <t>PRESTAMOS JUAN MONTOYA</t>
  </si>
  <si>
    <t>Software Contable</t>
  </si>
  <si>
    <t>Viajes San Pedro</t>
  </si>
  <si>
    <t>Total Movimientos Diceiembre-Enero</t>
  </si>
  <si>
    <t>SEGURIDAD SOCIAL</t>
  </si>
  <si>
    <t>CAPACITACIONES</t>
  </si>
  <si>
    <t>REPUESTOS Y MANTENIMIENTO</t>
  </si>
  <si>
    <t>HERRAMIENTAS CAMILO PAEZ</t>
  </si>
  <si>
    <t>ANALISIS SUELOS Y FOLIAR</t>
  </si>
  <si>
    <t>TRASPORTES DRONES</t>
  </si>
  <si>
    <t>COMPRA MOTO</t>
  </si>
  <si>
    <t>PAGOS ABOGADO</t>
  </si>
  <si>
    <t>GASTOS INICIO OPERACIÓN</t>
  </si>
  <si>
    <t>RETIROS TARJETA DEBITO CAMILO PAEZ</t>
  </si>
  <si>
    <t>SUBTOTAL SALIDAS EFECTIVO</t>
  </si>
  <si>
    <t xml:space="preserve">PRESTAMOS TECNOVANT </t>
  </si>
  <si>
    <t>PRESTAMOS SANTIAGO</t>
  </si>
  <si>
    <t>PRESTAMOS CAMILO</t>
  </si>
  <si>
    <t>TOTAL PAGOS EFECTIVO</t>
  </si>
  <si>
    <r>
      <rPr>
        <b/>
        <sz val="11"/>
        <color rgb="FF000000"/>
        <rFont val="Calibri"/>
      </rPr>
      <t xml:space="preserve">Situación del efectivo real </t>
    </r>
    <r>
      <rPr>
        <sz val="11"/>
        <color rgb="FF000000"/>
        <rFont val="Calibri"/>
      </rPr>
      <t>(fin mes)</t>
    </r>
  </si>
  <si>
    <t>Suma de AREA</t>
  </si>
  <si>
    <t>Total general</t>
  </si>
  <si>
    <t>NIT</t>
  </si>
  <si>
    <t>EMPRESA</t>
  </si>
  <si>
    <t>AGROESPIRAL</t>
  </si>
  <si>
    <t>JAIRO AVENDAÑO</t>
  </si>
  <si>
    <t>TIERRA GRATA</t>
  </si>
  <si>
    <t>CAÑON DEL HERRERO</t>
  </si>
  <si>
    <t>(en blanco)</t>
  </si>
  <si>
    <t>CLIENTE</t>
  </si>
  <si>
    <t>FABIAN SUAREZ</t>
  </si>
  <si>
    <t>GANADERÍA APR</t>
  </si>
  <si>
    <t>OSCAR LONDOÑO</t>
  </si>
  <si>
    <t>YULIANA</t>
  </si>
  <si>
    <t>FERNEY CORTES</t>
  </si>
  <si>
    <t>70196197-8</t>
  </si>
  <si>
    <t>21551374-1</t>
  </si>
  <si>
    <t>901670599-1</t>
  </si>
  <si>
    <t>70195502-7</t>
  </si>
  <si>
    <t>1040321838-9</t>
  </si>
  <si>
    <t>8151580-7</t>
  </si>
  <si>
    <t>CEREZALES</t>
  </si>
  <si>
    <t>JAIME ALBERTO TAMAYO</t>
  </si>
  <si>
    <t>MORELIA DEL SOCORRO MARIN MARIN</t>
  </si>
  <si>
    <t>43360672-1</t>
  </si>
  <si>
    <t>Etiquetas de fila</t>
  </si>
  <si>
    <t>PRECIO</t>
  </si>
  <si>
    <t>TOTAL FACTURA</t>
  </si>
  <si>
    <t>Suma de TOTAL FACTURA</t>
  </si>
  <si>
    <t>Etiquetas de columna</t>
  </si>
  <si>
    <t>ENERO</t>
  </si>
  <si>
    <t>FEBRERO</t>
  </si>
  <si>
    <t>ARRIENDO LOCAL</t>
  </si>
  <si>
    <t>ARRIENDO VEHICULO</t>
  </si>
  <si>
    <t>PRESTAMOS FERNANDO PERAZA</t>
  </si>
  <si>
    <t>Ha's Voladas</t>
  </si>
  <si>
    <t>SALARIO YEISON</t>
  </si>
  <si>
    <t>PRESTAMO ALEJANDRO VASQUEZ</t>
  </si>
  <si>
    <t>DICIEMBRE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</si>
  <si>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</si>
  <si>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</si>
  <si>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</si>
  <si>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</si>
  <si>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</si>
  <si>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</si>
  <si>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</si>
  <si>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</si>
  <si>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Columna1</t>
  </si>
  <si>
    <t>PRIMAS SERVICIO</t>
  </si>
  <si>
    <t>VACACIONES</t>
  </si>
  <si>
    <t>CESANTÍAS</t>
  </si>
  <si>
    <t>DICIEMBRE2</t>
  </si>
  <si>
    <t>Costo Ha</t>
  </si>
  <si>
    <t>Utilidad Ha</t>
  </si>
  <si>
    <t>Valor Ha</t>
  </si>
  <si>
    <t>FACTURA</t>
  </si>
  <si>
    <t>COMPRA DRON (T10-T50)+P4+P4 RTK+Generador</t>
  </si>
  <si>
    <t>SALARIO JHONATAN GUIRAL</t>
  </si>
  <si>
    <t>SALARIO PILOTO NUEVO</t>
  </si>
  <si>
    <t>SALARIO SALARIO AUXILIAR NUEVO</t>
  </si>
  <si>
    <t>PAGOS T50-O</t>
  </si>
  <si>
    <t>SALARIO AUXILIAR 1</t>
  </si>
  <si>
    <t>SALARIO AUXILIAR 2</t>
  </si>
  <si>
    <t>PAGOS T25 CAMMBIO</t>
  </si>
  <si>
    <t>PAGOS T25 ALVARO</t>
  </si>
  <si>
    <t>LOCAL</t>
  </si>
  <si>
    <t>EMPLEADA</t>
  </si>
  <si>
    <t>DIAN</t>
  </si>
  <si>
    <t>REPARACIÓN CAMIONETA</t>
  </si>
  <si>
    <t>SOFTWARE Y EQUIPOS COMPUTO-TV</t>
  </si>
  <si>
    <t>ENVÍOS</t>
  </si>
  <si>
    <t>AGROINSUMOS</t>
  </si>
  <si>
    <t>AERONAUTICA</t>
  </si>
  <si>
    <t>LIQUIDACIONES EMPLEADOS</t>
  </si>
  <si>
    <t>TELEFONO</t>
  </si>
  <si>
    <t>CONTACTO</t>
  </si>
  <si>
    <t>Dia</t>
  </si>
  <si>
    <t>PILOTO</t>
  </si>
  <si>
    <t>Hora inicio</t>
  </si>
  <si>
    <t>Hora Fin</t>
  </si>
  <si>
    <t>Tiempo operación</t>
  </si>
  <si>
    <t>Ha's/Hora</t>
  </si>
  <si>
    <t>Promedio de Ha's/Hora</t>
  </si>
  <si>
    <t>HA'S VOLADAS PILOTO</t>
  </si>
  <si>
    <t>CORTE 27 DE AGOSTO 2025</t>
  </si>
  <si>
    <t xml:space="preserve">HA'S PROGRAMADAS </t>
  </si>
  <si>
    <t>HA'S EJECUTADAS</t>
  </si>
  <si>
    <t>ALEJANDRO VASQUEZ</t>
  </si>
  <si>
    <t>T70P</t>
  </si>
  <si>
    <t>MESIAS ORTÍZ</t>
  </si>
  <si>
    <t>MAR 2</t>
  </si>
  <si>
    <t>LA LAGUNA</t>
  </si>
  <si>
    <t>LA PELTON</t>
  </si>
  <si>
    <t>LA VEGUITA</t>
  </si>
  <si>
    <t>LA ENTRADA</t>
  </si>
  <si>
    <t>LA TRINIDAD</t>
  </si>
  <si>
    <t>JORGE MORENO</t>
  </si>
  <si>
    <t>SAN PATRICIO</t>
  </si>
  <si>
    <t>PIRINEO</t>
  </si>
  <si>
    <t>LA CASCADA</t>
  </si>
  <si>
    <t>LA COLINA</t>
  </si>
  <si>
    <t>SAN FELIPE</t>
  </si>
  <si>
    <t>LOS NARANJOS</t>
  </si>
  <si>
    <t>HOSPITAL</t>
  </si>
  <si>
    <t>MAR</t>
  </si>
  <si>
    <t>ARENA</t>
  </si>
  <si>
    <t>EL RECREO</t>
  </si>
  <si>
    <t>Valores</t>
  </si>
  <si>
    <t>ORIENTE 1</t>
  </si>
  <si>
    <t>ORIENTE 2</t>
  </si>
  <si>
    <t xml:space="preserve">ORIENTE </t>
  </si>
  <si>
    <t>OCCIDENTE 2</t>
  </si>
  <si>
    <t>OCCIDENTE 1</t>
  </si>
  <si>
    <t>LAS PIEDRAS</t>
  </si>
  <si>
    <t>EL BRASIL</t>
  </si>
  <si>
    <t>LOS BOLIVANIOS</t>
  </si>
  <si>
    <t>LA MARÍA</t>
  </si>
  <si>
    <t>CAMILO GIRALDO</t>
  </si>
  <si>
    <t>POTREROS 6-12</t>
  </si>
  <si>
    <t>POTRERO 13</t>
  </si>
  <si>
    <t>POTREROS 14-17</t>
  </si>
  <si>
    <t>FALTANTE</t>
  </si>
  <si>
    <t>NANOFERTILIZANTE</t>
  </si>
  <si>
    <t>APLICACIÓN NANO</t>
  </si>
  <si>
    <t>SILVIO GIRALDO</t>
  </si>
  <si>
    <t>UBICACIÓN</t>
  </si>
  <si>
    <t>HDA LOS CAMPANOS</t>
  </si>
  <si>
    <t>HDA CAMPORRIOTO</t>
  </si>
  <si>
    <t>HDA LA LOMA</t>
  </si>
  <si>
    <t>FINCA LA PALMERITA</t>
  </si>
  <si>
    <t>HDA LA CANDELA</t>
  </si>
  <si>
    <t>HDA LA MARÍA</t>
  </si>
  <si>
    <t>FINCA LOS BOLIVIANOS</t>
  </si>
  <si>
    <t>HACIENDA LOS NARANJOS</t>
  </si>
  <si>
    <t>HDA LA LAGUNA</t>
  </si>
  <si>
    <t>ABRIL 2</t>
  </si>
  <si>
    <t>ABEHASS</t>
  </si>
  <si>
    <t>LA MANGA</t>
  </si>
  <si>
    <t>HDA LA CRUZ</t>
  </si>
  <si>
    <t>HDA CORRALEJAS</t>
  </si>
  <si>
    <t>LIMON HISPANIA</t>
  </si>
  <si>
    <t>FINCA FRANCISCO</t>
  </si>
  <si>
    <t>JULIO BETANCUR</t>
  </si>
  <si>
    <t>FINCA CHUSCALITO HASS</t>
  </si>
  <si>
    <t>FINCA AGUACATALES SAN RAFAEL</t>
  </si>
  <si>
    <t>FINCA ESPERANZA HASS</t>
  </si>
  <si>
    <t>AGRICOLAS EL RUIZ</t>
  </si>
  <si>
    <t>SAN BERNARDO MR SAS</t>
  </si>
  <si>
    <t>JULIO GONZALES</t>
  </si>
  <si>
    <t>NELSON MARULANDA</t>
  </si>
  <si>
    <t xml:space="preserve">HDA SANTA ANA </t>
  </si>
  <si>
    <t>FINCA SANTA CRUZ</t>
  </si>
  <si>
    <t>FINCA REAL ARABICA</t>
  </si>
  <si>
    <t>FINCA CAFÉ MESÍAS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</si>
</sst>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[h]:mm:ss;@"/>
    <numFmt numFmtId="165" formatCode="[$-1540A]dd\-mmm\-yy"/>
    <numFmt numFmtId="166" formatCode="[$$-240A]\ #,##0"/>
    <numFmt numFmtId="167" formatCode="#,##0.0"/>
    <numFmt numFmtId="168" formatCode="&quot;$&quot;\ #,##0"/>
    <numFmt numFmtId="169" formatCode="[$$-240A]\ #,##0.00"/>
    <numFmt numFmtId="170" formatCode="[$-C0A]dd\-mmm"/>
    <numFmt numFmtId="171" formatCode="[$$-540A]#,##0.0"/>
  </numFmts>
  <fonts count="26" x14ac:knownFonts="1">
    <font>
      <sz val="11"/>
      <name val="Calibri"/>
    </font>
    <font>
      <sz val="11"/>
      <color rgb="FF000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FF0000"/>
      <name val="Calibri"/>
    </font>
    <font>
      <sz val="11"/>
      <color rgb="FFFFFFFF"/>
      <name val="Calibri"/>
    </font>
    <font>
      <b/>
      <sz val="11"/>
      <color rgb="FF000000"/>
      <name val="Calibri"/>
    </font>
    <font>
      <b/>
      <sz val="24"/>
      <color rgb="FF000000"/>
      <name val="Calibri"/>
    </font>
    <font>
      <b/>
      <sz val="12"/>
      <color rgb="FFFF0000"/>
      <name val="Calibri"/>
    </font>
    <font>
      <sz val="11"/>
      <name val="Calibri"/>
    </font>
    <font>
      <b/>
      <sz val="22"/>
      <color rgb="FFFF0000"/>
      <name val="Calibri"/>
    </font>
    <font>
      <b/>
      <sz val="14"/>
      <color rgb="FFFF0000"/>
      <name val="Calibri"/>
    </font>
    <font>
      <b/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FF0000"/>
      <name val="Calibri"/>
    </font>
    <font>
      <sz val="12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FFFFFF"/>
      <name val="Calibri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4473C4"/>
        <bgColor rgb="FF4473C4"/>
      </patternFill>
    </fill>
    <fill>
      <patternFill patternType="solid">
        <fgColor rgb="FF99CCFF"/>
        <bgColor rgb="FF99CCFF"/>
      </patternFill>
    </fill>
    <fill>
      <patternFill patternType="solid">
        <fgColor rgb="FFCCFFFF"/>
        <bgColor rgb="FFCCFFFF"/>
      </patternFill>
    </fill>
    <fill>
      <patternFill patternType="solid">
        <fgColor rgb="FFFFFFFF"/>
        <bgColor rgb="FFFFFFFF"/>
      </patternFill>
    </fill>
    <fill>
      <patternFill patternType="solid">
        <fgColor rgb="FFBDD6EE"/>
        <bgColor rgb="FFBDD6EE"/>
      </patternFill>
    </fill>
  </fills>
  <borders count="17">
    <border>
      <left/>
      <right/>
      <top/>
      <bottom/>
      <diagonal/>
    </border>
    <border>
      <left/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/>
      <right/>
      <top/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/>
      <top style="thin">
        <color rgb="FFC0C0C0"/>
      </top>
      <bottom/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3F3"/>
      </top>
      <bottom style="thin">
        <color rgb="FFD9E3F3"/>
      </bottom>
      <diagonal/>
    </border>
  </borders>
  <cellStyleXfs count="1">
    <xf numFmtId="0" fontId="0" fillId="0" borderId="0">
      <alignment vertical="center"/>
    </xf>
  </cellStyleXfs>
  <cellXfs count="136">
    <xf numFmtId="0" fontId="0" fillId="0" borderId="0" xfId="0">
      <alignment vertical="center"/>
    </xf>
    <xf numFmtId="0" fontId="1" fillId="0" borderId="0" xfId="0" applyFont="1" applyAlignme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 applyProtection="1">
      <protection locked="0"/>
    </xf>
    <xf numFmtId="49" fontId="1" fillId="0" borderId="0" xfId="0" applyNumberFormat="1" applyFont="1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horizontal="center" vertical="center"/>
      <protection locked="0"/>
    </xf>
    <xf numFmtId="49" fontId="2" fillId="2" borderId="1" xfId="0" applyNumberFormat="1" applyFont="1" applyFill="1" applyBorder="1" applyAlignment="1" applyProtection="1">
      <alignment horizontal="left" vertical="center"/>
      <protection locked="0"/>
    </xf>
    <xf numFmtId="0" fontId="2" fillId="2" borderId="2" xfId="0" applyFont="1" applyFill="1" applyBorder="1" applyAlignment="1" applyProtection="1">
      <alignment horizontal="center" vertical="center"/>
      <protection locked="0"/>
    </xf>
    <xf numFmtId="4" fontId="2" fillId="2" borderId="2" xfId="0" applyNumberFormat="1" applyFont="1" applyFill="1" applyBorder="1" applyAlignment="1" applyProtection="1">
      <alignment horizontal="center" vertical="center"/>
      <protection locked="0"/>
    </xf>
    <xf numFmtId="165" fontId="2" fillId="2" borderId="2" xfId="0" applyNumberFormat="1" applyFont="1" applyFill="1" applyBorder="1" applyAlignment="1" applyProtection="1">
      <alignment horizontal="center" vertical="center"/>
      <protection locked="0"/>
    </xf>
    <xf numFmtId="49" fontId="2" fillId="2" borderId="3" xfId="0" applyNumberFormat="1" applyFont="1" applyFill="1" applyBorder="1" applyAlignment="1" applyProtection="1">
      <alignment horizontal="center" vertical="center"/>
      <protection locked="0"/>
    </xf>
    <xf numFmtId="49" fontId="2" fillId="2" borderId="3" xfId="0" applyNumberFormat="1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/>
      <protection locked="0"/>
    </xf>
    <xf numFmtId="4" fontId="3" fillId="0" borderId="0" xfId="0" applyNumberFormat="1" applyFont="1" applyAlignment="1" applyProtection="1">
      <alignment horizontal="center"/>
      <protection locked="0"/>
    </xf>
    <xf numFmtId="165" fontId="3" fillId="0" borderId="0" xfId="0" applyNumberFormat="1" applyFont="1" applyAlignment="1" applyProtection="1">
      <alignment horizontal="center"/>
      <protection locked="0"/>
    </xf>
    <xf numFmtId="0" fontId="3" fillId="0" borderId="0" xfId="0" applyFont="1" applyAlignment="1" applyProtection="1">
      <protection locked="0"/>
    </xf>
    <xf numFmtId="166" fontId="3" fillId="0" borderId="0" xfId="0" applyNumberFormat="1" applyFont="1" applyAlignment="1">
      <alignment horizontal="center"/>
    </xf>
    <xf numFmtId="166" fontId="3" fillId="0" borderId="0" xfId="0" applyNumberFormat="1" applyFont="1" applyAlignment="1" applyProtection="1">
      <alignment horizontal="center"/>
      <protection locked="0"/>
    </xf>
    <xf numFmtId="164" fontId="1" fillId="0" borderId="0" xfId="0" applyNumberFormat="1" applyFont="1" applyAlignment="1" applyProtection="1">
      <alignment horizontal="center"/>
      <protection locked="0"/>
    </xf>
    <xf numFmtId="2" fontId="1" fillId="0" borderId="0" xfId="0" applyNumberFormat="1" applyFont="1" applyAlignment="1" applyProtection="1">
      <alignment horizontal="center"/>
      <protection locked="0"/>
    </xf>
    <xf numFmtId="0" fontId="1" fillId="0" borderId="0" xfId="0" applyFont="1" applyAlignment="1"/>
    <xf numFmtId="0" fontId="1" fillId="0" borderId="0" xfId="0" applyFont="1" applyAlignment="1">
      <alignment horizontal="left"/>
    </xf>
    <xf numFmtId="168" fontId="1" fillId="0" borderId="0" xfId="0" applyNumberFormat="1" applyFont="1" applyAlignment="1"/>
    <xf numFmtId="166" fontId="1" fillId="0" borderId="0" xfId="0" applyNumberFormat="1" applyFont="1" applyAlignment="1">
      <alignment horizontal="center"/>
    </xf>
    <xf numFmtId="168" fontId="7" fillId="0" borderId="4" xfId="0" applyNumberFormat="1" applyFont="1" applyBorder="1" applyAlignment="1">
      <alignment horizontal="center" vertical="center" wrapText="1"/>
    </xf>
    <xf numFmtId="168" fontId="3" fillId="0" borderId="0" xfId="0" applyNumberFormat="1" applyFont="1" applyAlignment="1">
      <alignment horizontal="center" vertical="center"/>
    </xf>
    <xf numFmtId="168" fontId="8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168" fontId="3" fillId="0" borderId="0" xfId="0" applyNumberFormat="1" applyFont="1" applyAlignment="1">
      <alignment horizontal="left" vertical="center"/>
    </xf>
    <xf numFmtId="168" fontId="3" fillId="0" borderId="0" xfId="0" applyNumberFormat="1" applyFont="1">
      <alignment vertical="center"/>
    </xf>
    <xf numFmtId="0" fontId="9" fillId="0" borderId="5" xfId="0" applyFont="1" applyBorder="1" applyAlignment="1"/>
    <xf numFmtId="168" fontId="10" fillId="0" borderId="0" xfId="0" applyNumberFormat="1" applyFont="1" applyAlignment="1"/>
    <xf numFmtId="168" fontId="3" fillId="0" borderId="0" xfId="0" applyNumberFormat="1" applyFont="1" applyAlignment="1"/>
    <xf numFmtId="168" fontId="3" fillId="0" borderId="0" xfId="0" applyNumberFormat="1" applyFont="1" applyAlignment="1">
      <alignment horizontal="left"/>
    </xf>
    <xf numFmtId="168" fontId="3" fillId="0" borderId="0" xfId="0" applyNumberFormat="1" applyFont="1" applyAlignment="1">
      <alignment horizontal="center"/>
    </xf>
    <xf numFmtId="168" fontId="10" fillId="0" borderId="0" xfId="0" applyNumberFormat="1" applyFont="1" applyAlignment="1">
      <alignment horizontal="center"/>
    </xf>
    <xf numFmtId="165" fontId="11" fillId="0" borderId="0" xfId="0" applyNumberFormat="1" applyFont="1" applyAlignment="1">
      <alignment horizontal="center"/>
    </xf>
    <xf numFmtId="169" fontId="1" fillId="0" borderId="0" xfId="0" applyNumberFormat="1" applyFont="1" applyAlignment="1"/>
    <xf numFmtId="168" fontId="12" fillId="0" borderId="6" xfId="0" applyNumberFormat="1" applyFont="1" applyBorder="1" applyAlignment="1">
      <alignment horizontal="center" vertical="center" wrapText="1"/>
    </xf>
    <xf numFmtId="168" fontId="12" fillId="0" borderId="0" xfId="0" applyNumberFormat="1" applyFont="1" applyBorder="1" applyAlignment="1">
      <alignment horizontal="center" vertical="center" wrapText="1"/>
    </xf>
    <xf numFmtId="168" fontId="12" fillId="0" borderId="7" xfId="0" applyNumberFormat="1" applyFont="1" applyBorder="1" applyAlignment="1">
      <alignment horizontal="center" vertical="center" wrapText="1"/>
    </xf>
    <xf numFmtId="165" fontId="12" fillId="0" borderId="8" xfId="0" applyNumberFormat="1" applyFont="1" applyBorder="1" applyAlignment="1">
      <alignment horizontal="center" vertical="center" wrapText="1"/>
    </xf>
    <xf numFmtId="165" fontId="12" fillId="0" borderId="0" xfId="0" applyNumberFormat="1" applyFont="1" applyBorder="1" applyAlignment="1">
      <alignment horizontal="center" vertical="center" wrapText="1"/>
    </xf>
    <xf numFmtId="168" fontId="13" fillId="0" borderId="9" xfId="0" applyNumberFormat="1" applyFont="1" applyBorder="1" applyAlignment="1">
      <alignment vertical="center" wrapText="1"/>
    </xf>
    <xf numFmtId="168" fontId="3" fillId="0" borderId="8" xfId="0" applyNumberFormat="1" applyFont="1" applyBorder="1" applyAlignment="1">
      <alignment horizontal="center" vertical="center"/>
    </xf>
    <xf numFmtId="168" fontId="3" fillId="0" borderId="0" xfId="0" applyNumberFormat="1" applyFont="1" applyBorder="1" applyAlignment="1">
      <alignment horizontal="center" vertical="center"/>
    </xf>
    <xf numFmtId="168" fontId="13" fillId="0" borderId="10" xfId="0" applyNumberFormat="1" applyFont="1" applyBorder="1" applyAlignment="1">
      <alignment vertical="center" wrapText="1"/>
    </xf>
    <xf numFmtId="168" fontId="3" fillId="0" borderId="10" xfId="0" applyNumberFormat="1" applyFont="1" applyBorder="1" applyAlignment="1">
      <alignment horizontal="center" vertical="center"/>
    </xf>
    <xf numFmtId="168" fontId="2" fillId="3" borderId="0" xfId="0" applyNumberFormat="1" applyFont="1" applyFill="1" applyBorder="1" applyAlignment="1">
      <alignment horizontal="center" vertical="center"/>
    </xf>
    <xf numFmtId="168" fontId="13" fillId="4" borderId="11" xfId="0" applyNumberFormat="1" applyFont="1" applyFill="1" applyBorder="1" applyAlignment="1">
      <alignment vertical="center" wrapText="1"/>
    </xf>
    <xf numFmtId="168" fontId="3" fillId="4" borderId="12" xfId="0" applyNumberFormat="1" applyFont="1" applyFill="1" applyBorder="1" applyAlignment="1">
      <alignment horizontal="center" vertical="center"/>
    </xf>
    <xf numFmtId="168" fontId="3" fillId="4" borderId="8" xfId="0" applyNumberFormat="1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8" fontId="3" fillId="0" borderId="8" xfId="0" applyNumberFormat="1" applyFont="1" applyBorder="1" applyAlignment="1">
      <alignment vertical="center" wrapText="1"/>
    </xf>
    <xf numFmtId="0" fontId="3" fillId="0" borderId="0" xfId="0" applyFont="1" applyAlignment="1"/>
    <xf numFmtId="170" fontId="3" fillId="0" borderId="0" xfId="0" applyNumberFormat="1" applyFont="1" applyAlignment="1"/>
    <xf numFmtId="168" fontId="3" fillId="0" borderId="13" xfId="0" applyNumberFormat="1" applyFont="1" applyBorder="1" applyAlignment="1">
      <alignment horizontal="center" vertical="center"/>
    </xf>
    <xf numFmtId="166" fontId="14" fillId="0" borderId="0" xfId="0" applyNumberFormat="1" applyFont="1" applyBorder="1" applyAlignment="1"/>
    <xf numFmtId="169" fontId="13" fillId="0" borderId="0" xfId="0" applyNumberFormat="1" applyFont="1" applyAlignment="1"/>
    <xf numFmtId="168" fontId="13" fillId="0" borderId="8" xfId="0" applyNumberFormat="1" applyFont="1" applyBorder="1" applyAlignment="1">
      <alignment vertical="center" wrapText="1"/>
    </xf>
    <xf numFmtId="168" fontId="13" fillId="5" borderId="8" xfId="0" applyNumberFormat="1" applyFont="1" applyFill="1" applyBorder="1" applyAlignment="1">
      <alignment vertical="center" wrapText="1"/>
    </xf>
    <xf numFmtId="171" fontId="13" fillId="0" borderId="0" xfId="0" applyNumberFormat="1" applyFont="1" applyAlignment="1"/>
    <xf numFmtId="168" fontId="13" fillId="0" borderId="12" xfId="0" applyNumberFormat="1" applyFont="1" applyBorder="1" applyAlignment="1">
      <alignment vertical="center" wrapText="1"/>
    </xf>
    <xf numFmtId="168" fontId="3" fillId="0" borderId="12" xfId="0" applyNumberFormat="1" applyFont="1" applyBorder="1" applyAlignment="1">
      <alignment horizontal="center" vertical="center"/>
    </xf>
    <xf numFmtId="168" fontId="13" fillId="4" borderId="14" xfId="0" applyNumberFormat="1" applyFont="1" applyFill="1" applyBorder="1" applyAlignment="1">
      <alignment vertical="center" wrapText="1"/>
    </xf>
    <xf numFmtId="168" fontId="3" fillId="4" borderId="0" xfId="0" applyNumberFormat="1" applyFont="1" applyFill="1" applyBorder="1" applyAlignment="1">
      <alignment horizontal="center" vertical="center"/>
    </xf>
    <xf numFmtId="171" fontId="3" fillId="0" borderId="0" xfId="0" applyNumberFormat="1" applyFont="1" applyAlignment="1"/>
    <xf numFmtId="165" fontId="3" fillId="0" borderId="0" xfId="0" applyNumberFormat="1" applyFont="1">
      <alignment vertical="center"/>
    </xf>
    <xf numFmtId="168" fontId="15" fillId="0" borderId="8" xfId="0" applyNumberFormat="1" applyFont="1" applyBorder="1" applyAlignment="1">
      <alignment vertical="center" wrapText="1"/>
    </xf>
    <xf numFmtId="168" fontId="15" fillId="0" borderId="8" xfId="0" applyNumberFormat="1" applyFont="1" applyBorder="1" applyAlignment="1">
      <alignment horizontal="center" vertical="center"/>
    </xf>
    <xf numFmtId="168" fontId="3" fillId="6" borderId="0" xfId="0" applyNumberFormat="1" applyFont="1" applyFill="1" applyBorder="1" applyAlignment="1">
      <alignment horizontal="left" vertical="center"/>
    </xf>
    <xf numFmtId="165" fontId="3" fillId="6" borderId="0" xfId="0" applyNumberFormat="1" applyFont="1" applyFill="1" applyBorder="1" applyAlignment="1">
      <alignment horizontal="center" vertical="center"/>
    </xf>
    <xf numFmtId="165" fontId="3" fillId="6" borderId="0" xfId="0" applyNumberFormat="1" applyFont="1" applyFill="1" applyBorder="1">
      <alignment vertical="center"/>
    </xf>
    <xf numFmtId="168" fontId="3" fillId="6" borderId="0" xfId="0" applyNumberFormat="1" applyFont="1" applyFill="1" applyBorder="1">
      <alignment vertical="center"/>
    </xf>
    <xf numFmtId="168" fontId="13" fillId="0" borderId="0" xfId="0" applyNumberFormat="1" applyFont="1" applyAlignment="1">
      <alignment horizontal="left" vertical="center"/>
    </xf>
    <xf numFmtId="165" fontId="13" fillId="0" borderId="0" xfId="0" applyNumberFormat="1" applyFont="1" applyAlignment="1">
      <alignment horizontal="center" vertical="center"/>
    </xf>
    <xf numFmtId="168" fontId="13" fillId="0" borderId="0" xfId="0" applyNumberFormat="1" applyFont="1">
      <alignment vertical="center"/>
    </xf>
    <xf numFmtId="168" fontId="13" fillId="0" borderId="0" xfId="0" applyNumberFormat="1" applyFont="1" applyAlignment="1">
      <alignment horizontal="center" vertical="center"/>
    </xf>
    <xf numFmtId="168" fontId="16" fillId="0" borderId="0" xfId="0" applyNumberFormat="1" applyFont="1" applyAlignment="1">
      <alignment horizontal="center" vertical="center"/>
    </xf>
    <xf numFmtId="168" fontId="15" fillId="0" borderId="0" xfId="0" applyNumberFormat="1" applyFont="1" applyBorder="1" applyAlignment="1">
      <alignment horizontal="center" vertical="center"/>
    </xf>
    <xf numFmtId="168" fontId="16" fillId="0" borderId="0" xfId="0" applyNumberFormat="1" applyFont="1" applyAlignment="1">
      <alignment horizontal="left" vertical="center"/>
    </xf>
    <xf numFmtId="168" fontId="16" fillId="0" borderId="0" xfId="0" applyNumberFormat="1" applyFont="1">
      <alignment vertical="center"/>
    </xf>
    <xf numFmtId="168" fontId="13" fillId="7" borderId="13" xfId="0" applyNumberFormat="1" applyFont="1" applyFill="1" applyBorder="1" applyAlignment="1">
      <alignment vertical="center" wrapText="1"/>
    </xf>
    <xf numFmtId="168" fontId="3" fillId="7" borderId="13" xfId="0" applyNumberFormat="1" applyFont="1" applyFill="1" applyBorder="1" applyAlignment="1">
      <alignment horizontal="center" vertical="center"/>
    </xf>
    <xf numFmtId="4" fontId="3" fillId="0" borderId="8" xfId="0" applyNumberFormat="1" applyFont="1" applyBorder="1" applyAlignment="1">
      <alignment horizontal="center" vertical="center"/>
    </xf>
    <xf numFmtId="168" fontId="3" fillId="0" borderId="13" xfId="0" applyNumberFormat="1" applyFont="1" applyBorder="1" applyAlignment="1">
      <alignment vertical="center" wrapText="1"/>
    </xf>
    <xf numFmtId="168" fontId="3" fillId="0" borderId="0" xfId="0" applyNumberFormat="1" applyFont="1" applyAlignment="1">
      <alignment vertical="center" wrapText="1"/>
    </xf>
    <xf numFmtId="0" fontId="3" fillId="0" borderId="0" xfId="0" applyFont="1" applyAlignment="1">
      <alignment horizontal="left"/>
    </xf>
    <xf numFmtId="0" fontId="2" fillId="3" borderId="0" xfId="0" applyFont="1" applyFill="1" applyBorder="1" applyAlignment="1">
      <alignment horizontal="left"/>
    </xf>
    <xf numFmtId="49" fontId="2" fillId="3" borderId="0" xfId="0" applyNumberFormat="1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3" fillId="0" borderId="15" xfId="0" applyFont="1" applyBorder="1" applyAlignment="1">
      <alignment horizontal="left"/>
    </xf>
    <xf numFmtId="49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15" xfId="0" applyFont="1" applyBorder="1" applyAlignment="1">
      <alignment horizontal="center"/>
    </xf>
    <xf numFmtId="0" fontId="17" fillId="0" borderId="16" xfId="0" applyFont="1" applyBorder="1" applyAlignment="1"/>
    <xf numFmtId="0" fontId="17" fillId="0" borderId="0" xfId="0" applyFont="1" applyAlignment="1"/>
    <xf numFmtId="0" fontId="4" fillId="0" borderId="0" xfId="0" applyFont="1" applyAlignment="1"/>
    <xf numFmtId="166" fontId="18" fillId="0" borderId="16" xfId="0" applyNumberFormat="1" applyFont="1" applyBorder="1" applyAlignment="1">
      <alignment horizontal="center"/>
    </xf>
    <xf numFmtId="166" fontId="18" fillId="0" borderId="0" xfId="0" applyNumberFormat="1" applyFont="1" applyBorder="1" applyAlignment="1">
      <alignment horizontal="center"/>
    </xf>
    <xf numFmtId="0" fontId="18" fillId="0" borderId="0" xfId="0" applyFont="1" applyAlignment="1"/>
    <xf numFmtId="0" fontId="19" fillId="0" borderId="0" xfId="0" applyFont="1" applyAlignment="1"/>
    <xf numFmtId="1" fontId="1" fillId="0" borderId="0" xfId="0" applyNumberFormat="1" applyFont="1" applyAlignment="1">
      <alignment horizontal="center"/>
    </xf>
    <xf numFmtId="0" fontId="5" fillId="0" borderId="0" xfId="0" applyFont="1" applyAlignment="1"/>
    <xf numFmtId="166" fontId="5" fillId="0" borderId="0" xfId="0" applyNumberFormat="1" applyFont="1" applyAlignment="1">
      <alignment horizontal="center"/>
    </xf>
    <xf numFmtId="0" fontId="20" fillId="0" borderId="0" xfId="0" applyFont="1" applyAlignment="1"/>
    <xf numFmtId="0" fontId="1" fillId="0" borderId="0" xfId="0" applyFont="1" applyAlignment="1">
      <alignment horizontal="center"/>
    </xf>
    <xf numFmtId="166" fontId="1" fillId="0" borderId="0" xfId="0" applyNumberFormat="1" applyFont="1" applyAlignment="1" applyProtection="1">
      <alignment horizontal="center"/>
      <protection locked="0"/>
    </xf>
    <xf numFmtId="2" fontId="1" fillId="0" borderId="0" xfId="0" applyNumberFormat="1" applyFont="1" applyAlignment="1" applyProtection="1">
      <protection locked="0"/>
    </xf>
    <xf numFmtId="49" fontId="1" fillId="0" borderId="0" xfId="0" applyNumberFormat="1" applyFont="1" applyAlignment="1" applyProtection="1">
      <protection locked="0"/>
    </xf>
    <xf numFmtId="4" fontId="1" fillId="0" borderId="0" xfId="0" applyNumberFormat="1" applyFont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left"/>
      <protection locked="0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65" fontId="0" fillId="0" borderId="0" xfId="0" applyNumberFormat="1">
      <alignment vertical="center"/>
    </xf>
    <xf numFmtId="166" fontId="0" fillId="0" borderId="0" xfId="0" applyNumberFormat="1">
      <alignment vertical="center"/>
    </xf>
    <xf numFmtId="2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" fontId="1" fillId="0" borderId="0" xfId="0" applyNumberFormat="1" applyFont="1" applyAlignment="1" applyProtection="1">
      <alignment horizontal="left"/>
      <protection locked="0"/>
    </xf>
    <xf numFmtId="0" fontId="24" fillId="0" borderId="0" xfId="0" applyFont="1" applyAlignment="1" applyProtection="1">
      <alignment horizontal="left"/>
      <protection locked="0"/>
    </xf>
    <xf numFmtId="0" fontId="5" fillId="0" borderId="0" xfId="0" applyFont="1" applyAlignment="1">
      <alignment horizontal="center"/>
    </xf>
    <xf numFmtId="168" fontId="0" fillId="0" borderId="0" xfId="0" applyNumberFormat="1">
      <alignment vertical="center"/>
    </xf>
    <xf numFmtId="4" fontId="0" fillId="0" borderId="0" xfId="0" applyNumberFormat="1" applyAlignment="1">
      <alignment horizontal="center" vertical="center"/>
    </xf>
    <xf numFmtId="0" fontId="25" fillId="0" borderId="0" xfId="0" applyFont="1" applyAlignment="1" applyProtection="1">
      <alignment horizontal="center"/>
      <protection locked="0"/>
    </xf>
    <xf numFmtId="165" fontId="1" fillId="0" borderId="0" xfId="0" applyNumberFormat="1" applyFont="1" applyAlignment="1" applyProtection="1">
      <alignment horizontal="center"/>
      <protection locked="0"/>
    </xf>
    <xf numFmtId="0" fontId="0" fillId="0" borderId="0" xfId="0" applyNumberFormat="1" applyAlignment="1">
      <alignment horizontal="center" vertical="center"/>
    </xf>
    <xf numFmtId="0" fontId="25" fillId="0" borderId="0" xfId="0" applyNumberFormat="1" applyFont="1" applyAlignment="1">
      <alignment horizontal="center" vertical="center"/>
    </xf>
    <xf numFmtId="0" fontId="24" fillId="0" borderId="0" xfId="0" applyFont="1" applyAlignment="1" applyProtection="1">
      <protection locked="0"/>
    </xf>
    <xf numFmtId="168" fontId="0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55">
    <dxf>
      <numFmt numFmtId="4" formatCode="#,##0.00"/>
    </dxf>
    <dxf>
      <alignment horizontal="center"/>
    </dxf>
    <dxf>
      <alignment horizontal="center"/>
    </dxf>
    <dxf>
      <numFmt numFmtId="168" formatCode="&quot;$&quot;\ #,##0"/>
    </dxf>
    <dxf>
      <numFmt numFmtId="166" formatCode="[$$-240A]\ #,##0"/>
    </dxf>
    <dxf>
      <font>
        <sz val="11"/>
        <color rgb="FFFFFFFF"/>
      </font>
    </dxf>
    <dxf>
      <numFmt numFmtId="166" formatCode="[$$-240A]\ #,##0"/>
    </dxf>
    <dxf>
      <numFmt numFmtId="2" formatCode="0.00"/>
    </dxf>
    <dxf>
      <numFmt numFmtId="3" formatCode="#,##0"/>
    </dxf>
    <dxf>
      <font>
        <sz val="11"/>
        <color rgb="FF000000"/>
      </font>
      <numFmt numFmtId="168" formatCode="&quot;$&quot;\ #,##0"/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sz val="11"/>
        <color rgb="FF000000"/>
      </font>
      <numFmt numFmtId="168" formatCode="&quot;$&quot;\ #,##0"/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sz val="11"/>
        <color rgb="FF000000"/>
      </font>
      <numFmt numFmtId="168" formatCode="&quot;$&quot;\ #,##0"/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sz val="11"/>
        <color rgb="FF000000"/>
      </font>
      <numFmt numFmtId="168" formatCode="&quot;$&quot;\ #,##0"/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sz val="11"/>
        <color rgb="FF000000"/>
      </font>
      <numFmt numFmtId="168" formatCode="&quot;$&quot;\ #,##0"/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sz val="11"/>
        <color rgb="FF000000"/>
      </font>
      <numFmt numFmtId="168" formatCode="&quot;$&quot;\ #,##0"/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sz val="11"/>
        <color rgb="FF000000"/>
      </font>
      <numFmt numFmtId="168" formatCode="&quot;$&quot;\ #,##0"/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sz val="11"/>
        <color rgb="FF000000"/>
      </font>
      <numFmt numFmtId="168" formatCode="&quot;$&quot;\ #,##0"/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sz val="11"/>
        <color rgb="FF000000"/>
      </font>
      <numFmt numFmtId="168" formatCode="&quot;$&quot;\ #,##0"/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sz val="11"/>
        <color rgb="FF000000"/>
      </font>
      <numFmt numFmtId="168" formatCode="&quot;$&quot;\ #,##0"/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sz val="11"/>
        <color rgb="FF000000"/>
      </font>
      <numFmt numFmtId="168" formatCode="&quot;$&quot;\ #,##0"/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sz val="11"/>
        <color rgb="FF000000"/>
      </font>
      <numFmt numFmtId="168" formatCode="&quot;$&quot;\ #,##0"/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sz val="11"/>
        <color rgb="FF000000"/>
      </font>
      <numFmt numFmtId="168" formatCode="&quot;$&quot;\ #,##0"/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sz val="11"/>
        <color rgb="FF000000"/>
      </font>
      <numFmt numFmtId="168" formatCode="&quot;$&quot;\ #,##0"/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sz val="11"/>
        <color rgb="FF000000"/>
      </font>
      <numFmt numFmtId="168" formatCode="&quot;$&quot;\ #,##0"/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border>
        <left/>
        <right/>
        <top style="thin">
          <color rgb="FFC0C0C0"/>
        </top>
        <bottom style="thin">
          <color rgb="FFC0C0C0"/>
        </bottom>
      </border>
    </dxf>
    <dxf>
      <font>
        <sz val="11"/>
        <color rgb="FF000000"/>
      </font>
    </dxf>
    <dxf>
      <border>
        <left/>
        <right/>
        <top/>
        <bottom style="thin">
          <color rgb="FFC0C0C0"/>
        </bottom>
      </border>
    </dxf>
    <dxf>
      <font>
        <b/>
        <sz val="12"/>
        <color rgb="FF000000"/>
      </font>
      <numFmt numFmtId="168" formatCode="&quot;$&quot;\ #,##0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  <family val="2"/>
      </font>
    </dxf>
    <dxf>
      <font>
        <color rgb="FFFF0000"/>
      </font>
    </dxf>
    <dxf>
      <alignment horizontal="center"/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color rgb="FFFF0000"/>
      </font>
    </dxf>
    <dxf>
      <numFmt numFmtId="168" formatCode="&quot;$&quot;\ #,##0"/>
    </dxf>
    <dxf>
      <alignment horizontal="center"/>
    </dxf>
    <dxf>
      <alignment horizontal="center"/>
    </dxf>
    <dxf>
      <alignment horizontal="center"/>
    </dxf>
    <dxf>
      <numFmt numFmtId="30" formatCode="@"/>
    </dxf>
    <dxf>
      <numFmt numFmtId="2" formatCode="0.00"/>
    </dxf>
    <dxf>
      <numFmt numFmtId="2" formatCode="0.00"/>
      <alignment horizontal="center" textRotation="0" wrapText="0" indent="0" justifyLastLine="0" shrinkToFit="0" readingOrder="0"/>
    </dxf>
    <dxf>
      <numFmt numFmtId="164" formatCode="[h]:mm:ss;@"/>
    </dxf>
    <dxf>
      <numFmt numFmtId="164" formatCode="[h]:mm:ss;@"/>
    </dxf>
    <dxf>
      <numFmt numFmtId="166" formatCode="[$$-240A]\ #,##0"/>
    </dxf>
    <dxf>
      <numFmt numFmtId="0" formatCode="General"/>
    </dxf>
    <dxf>
      <numFmt numFmtId="165" formatCode="[$-1540A]dd\-mmm\-yy"/>
    </dxf>
    <dxf>
      <alignment horizontal="center" textRotation="0" wrapText="0" indent="0" justifyLastLine="0" shrinkToFit="0" readingOrder="0"/>
    </dxf>
    <dxf>
      <alignment horizontal="left" textRotation="0" wrapText="0" indent="0" justifyLastLine="0" shrinkToFit="0" readingOrder="0"/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4473C4"/>
          <bgColor rgb="FF4473C4"/>
        </patternFill>
      </fill>
    </dxf>
  </dxfs>
  <tableStyles count="1" defaultTableStyle="TableStyleMedium2" defaultPivotStyle="PivotStyleLight16">
    <tableStyle name="PROGRAMACIÓN-style" pivot="0" count="3" xr9:uid="{00000000-0011-0000-FFFF-FFFF00000000}">
      <tableStyleElement type="headerRow" dxfId="54"/>
      <tableStyleElement type="firstRowStripe" dxfId="53"/>
      <tableStyleElement type="secondRowStripe" dxfId="5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www.wps.cn/officeDocument/2020/cellImage" Target="NUL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[Operación Tecnovant.xlsx]INFORME!TablaDinámica1</c:name>
    <c:fmtId val="16"/>
  </c:pivotSource>
  <c:chart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2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2"/>
            </a:outerShdw>
          </a:effectLst>
        </c:spPr>
        <c:marker>
          <c:symbol val="circle"/>
          <c:size val="5"/>
          <c:spPr>
            <a:solidFill>
              <a:schemeClr val="accent2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layout>
            <c:manualLayout>
              <c:x val="-9.8494766467444577E-3"/>
              <c:y val="-2.086955861471993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2"/>
            </a:outerShdw>
          </a:effectLst>
        </c:spPr>
        <c:marker>
          <c:symbol val="circle"/>
          <c:size val="5"/>
          <c:spPr>
            <a:solidFill>
              <a:schemeClr val="accent2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layout>
            <c:manualLayout>
              <c:x val="-4.0639302617293323E-2"/>
              <c:y val="-5.944236478636891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2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9601678311337857E-2"/>
          <c:y val="0.15558267480715854"/>
          <c:w val="0.69470953954230763"/>
          <c:h val="0.79040260632382586"/>
        </c:manualLayout>
      </c:layout>
      <c:lineChart>
        <c:grouping val="stacked"/>
        <c:varyColors val="0"/>
        <c:ser>
          <c:idx val="0"/>
          <c:order val="0"/>
          <c:tx>
            <c:strRef>
              <c:f>INFORME!$B$6:$B$7</c:f>
              <c:strCache>
                <c:ptCount val="1"/>
                <c:pt idx="0">
                  <c:v>Suma de AREA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INFORME!$A$8:$A$13</c:f>
              <c:strCache>
                <c:ptCount val="5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</c:strCache>
            </c:strRef>
          </c:cat>
          <c:val>
            <c:numRef>
              <c:f>INFORME!$B$8:$B$13</c:f>
              <c:numCache>
                <c:formatCode>#,##0</c:formatCode>
                <c:ptCount val="5"/>
                <c:pt idx="0">
                  <c:v>226.29000000000005</c:v>
                </c:pt>
                <c:pt idx="1">
                  <c:v>126.67</c:v>
                </c:pt>
                <c:pt idx="2">
                  <c:v>209.39</c:v>
                </c:pt>
                <c:pt idx="3">
                  <c:v>296</c:v>
                </c:pt>
                <c:pt idx="4">
                  <c:v>158.9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1C-4752-9824-AA600D6930DC}"/>
            </c:ext>
          </c:extLst>
        </c:ser>
        <c:ser>
          <c:idx val="1"/>
          <c:order val="1"/>
          <c:tx>
            <c:strRef>
              <c:f>INFORME!$C$6:$C$7</c:f>
              <c:strCache>
                <c:ptCount val="1"/>
                <c:pt idx="0">
                  <c:v>Suma de TOTAL FACTURA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circle"/>
            <c:size val="5"/>
            <c:spPr>
              <a:solidFill>
                <a:schemeClr val="accent2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22225">
                  <a:solidFill>
                    <a:schemeClr val="lt1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411C-4752-9824-AA600D6930DC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2"/>
                </a:solidFill>
                <a:ln w="22225">
                  <a:solidFill>
                    <a:schemeClr val="lt1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411C-4752-9824-AA600D6930D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INFORME!$A$8:$A$13</c:f>
              <c:strCache>
                <c:ptCount val="5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</c:strCache>
            </c:strRef>
          </c:cat>
          <c:val>
            <c:numRef>
              <c:f>INFORME!$C$8:$C$13</c:f>
              <c:numCache>
                <c:formatCode>[$-1540A]dd\-mmm\-yy</c:formatCode>
                <c:ptCount val="5"/>
                <c:pt idx="0">
                  <c:v>29827000</c:v>
                </c:pt>
                <c:pt idx="1">
                  <c:v>11733600</c:v>
                </c:pt>
                <c:pt idx="2">
                  <c:v>38779200</c:v>
                </c:pt>
                <c:pt idx="3">
                  <c:v>54356000</c:v>
                </c:pt>
                <c:pt idx="4">
                  <c:v>19068000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11C-4752-9824-AA600D6930D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615780384"/>
        <c:axId val="615777144"/>
      </c:lineChart>
      <c:catAx>
        <c:axId val="61578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15777144"/>
        <c:crosses val="autoZero"/>
        <c:auto val="1"/>
        <c:lblAlgn val="ctr"/>
        <c:lblOffset val="100"/>
        <c:noMultiLvlLbl val="0"/>
      </c:catAx>
      <c:valAx>
        <c:axId val="615777144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15780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[Operación Tecnovant.xlsx]INFORME!TablaDinámica2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HA'S</a:t>
            </a:r>
            <a:r>
              <a:rPr lang="es-CO" baseline="0"/>
              <a:t>/HORA PILOTO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4472C4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lt1"/>
            </a:bgClr>
          </a:pattFill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4472C4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4472C4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ltUpDiag">
            <a:fgClr>
              <a:schemeClr val="accent1"/>
            </a:fgClr>
            <a:bgClr>
              <a:schemeClr val="lt1"/>
            </a:bgClr>
          </a:pattFill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4472C4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ltUpDiag">
            <a:fgClr>
              <a:schemeClr val="accent1"/>
            </a:fgClr>
            <a:bgClr>
              <a:schemeClr val="lt1"/>
            </a:bgClr>
          </a:pattFill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4472C4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ltUpDiag">
            <a:fgClr>
              <a:schemeClr val="accent1"/>
            </a:fgClr>
            <a:bgClr>
              <a:schemeClr val="lt1"/>
            </a:bgClr>
          </a:pattFill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4472C4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ltUpDiag">
            <a:fgClr>
              <a:schemeClr val="accent1"/>
            </a:fgClr>
            <a:bgClr>
              <a:schemeClr val="lt1"/>
            </a:bgClr>
          </a:pattFill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4472C4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pattFill prst="ltUpDiag">
            <a:fgClr>
              <a:schemeClr val="accent1"/>
            </a:fgClr>
            <a:bgClr>
              <a:schemeClr val="lt1"/>
            </a:bgClr>
          </a:pattFill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4472C4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pattFill prst="ltUpDiag">
            <a:fgClr>
              <a:schemeClr val="accent1"/>
            </a:fgClr>
            <a:bgClr>
              <a:schemeClr val="lt1"/>
            </a:bgClr>
          </a:pattFill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4472C4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pattFill prst="ltUpDiag">
            <a:fgClr>
              <a:schemeClr val="accent1"/>
            </a:fgClr>
            <a:bgClr>
              <a:schemeClr val="lt1"/>
            </a:bgClr>
          </a:pattFill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4472C4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4472C4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3781212841854936E-2"/>
          <c:y val="0.20577232574939822"/>
          <c:w val="0.7223832083415257"/>
          <c:h val="0.64198610402180067"/>
        </c:manualLayout>
      </c:layout>
      <c:lineChart>
        <c:grouping val="standard"/>
        <c:varyColors val="0"/>
        <c:ser>
          <c:idx val="0"/>
          <c:order val="0"/>
          <c:tx>
            <c:strRef>
              <c:f>INFORME!$B$30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14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solidFill>
                <a:srgbClr val="4472C4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INFORME!$A$31:$A$32</c:f>
              <c:strCache>
                <c:ptCount val="1"/>
                <c:pt idx="0">
                  <c:v>ALEJANDRO VASQUEZ</c:v>
                </c:pt>
              </c:strCache>
            </c:strRef>
          </c:cat>
          <c:val>
            <c:numRef>
              <c:f>INFORME!$B$31:$B$32</c:f>
              <c:numCache>
                <c:formatCode>0.00</c:formatCode>
                <c:ptCount val="1"/>
                <c:pt idx="0">
                  <c:v>0.89379310344827567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89-4DD3-A893-2755AAAE8BA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431726848"/>
        <c:axId val="431727208"/>
      </c:lineChart>
      <c:catAx>
        <c:axId val="43172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31727208"/>
        <c:crosses val="autoZero"/>
        <c:auto val="1"/>
        <c:lblAlgn val="ctr"/>
        <c:lblOffset val="100"/>
        <c:noMultiLvlLbl val="0"/>
      </c:catAx>
      <c:valAx>
        <c:axId val="43172720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431726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[Operación Tecnovant.xlsx]INFORME!TablaDinámica3</c:name>
    <c:fmtId val="1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4472C4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4472C4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INFORME!$B$41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14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solidFill>
                <a:srgbClr val="4472C4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INFORME!$A$42</c:f>
              <c:strCache>
                <c:ptCount val="1"/>
                <c:pt idx="0">
                  <c:v>Total general</c:v>
                </c:pt>
              </c:strCache>
            </c:strRef>
          </c:cat>
          <c:val>
            <c:numRef>
              <c:f>INFORME!$B$42</c:f>
              <c:numCache>
                <c:formatCode>[$$-240A]\ #,##0</c:formatCode>
                <c:ptCount val="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BD-474B-877A-B117B77FFCB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630279384"/>
        <c:axId val="630257424"/>
      </c:lineChart>
      <c:catAx>
        <c:axId val="630279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30257424"/>
        <c:crosses val="autoZero"/>
        <c:auto val="1"/>
        <c:lblAlgn val="ctr"/>
        <c:lblOffset val="100"/>
        <c:noMultiLvlLbl val="0"/>
      </c:catAx>
      <c:valAx>
        <c:axId val="630257424"/>
        <c:scaling>
          <c:orientation val="minMax"/>
        </c:scaling>
        <c:delete val="1"/>
        <c:axPos val="l"/>
        <c:numFmt formatCode="[$$-240A]\ #,##0" sourceLinked="1"/>
        <c:majorTickMark val="none"/>
        <c:minorTickMark val="none"/>
        <c:tickLblPos val="nextTo"/>
        <c:crossAx val="630279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766864</xdr:colOff>
      <xdr:row>0</xdr:row>
      <xdr:rowOff>0</xdr:rowOff>
    </xdr:from>
    <xdr:to>
      <xdr:col>15</xdr:col>
      <xdr:colOff>898734</xdr:colOff>
      <xdr:row>22</xdr:row>
      <xdr:rowOff>75641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622901</xdr:colOff>
      <xdr:row>23</xdr:row>
      <xdr:rowOff>12017</xdr:rowOff>
    </xdr:from>
    <xdr:to>
      <xdr:col>14</xdr:col>
      <xdr:colOff>1470360</xdr:colOff>
      <xdr:row>43</xdr:row>
      <xdr:rowOff>88366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1260074</xdr:colOff>
      <xdr:row>45</xdr:row>
      <xdr:rowOff>50192</xdr:rowOff>
    </xdr:from>
    <xdr:to>
      <xdr:col>10</xdr:col>
      <xdr:colOff>241996</xdr:colOff>
      <xdr:row>61</xdr:row>
      <xdr:rowOff>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://Users/user/Dropbox/AGRITECH/PROGRAMACI&#211;N%20Y%20CONTROL%20PRODUCCI&#211;N/PROGRAMACION_ABRIL-CAMILI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RAMADO SEPTIEMBRE (2)"/>
      <sheetName val="PROGRAMADO OCTUBRE"/>
    </sheetNames>
    <sheetDataSet>
      <sheetData sheetId="0"/>
      <sheetData sheetId="1">
        <row r="27">
          <cell r="AH27">
            <v>653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Usuario" refreshedDate="45985.310092361113" refreshedVersion="8" recordCount="32" xr:uid="{00000000-000A-0000-FFFF-FFFF00000000}">
  <cacheSource type="worksheet">
    <worksheetSource ref="AO8:AX40" sheet="FLUJO REAL"/>
  </cacheSource>
  <cacheFields count="10">
    <cacheField name="Descripción" numFmtId="0">
      <sharedItems containsBlank="1"/>
    </cacheField>
    <cacheField name="Diciembre" numFmtId="164">
      <sharedItems containsNonDate="0" containsDate="1" containsString="0" containsBlank="1" minDate="2025-12-01T00:00:00" maxDate="2025-12-02T00:00:00"/>
    </cacheField>
    <cacheField name="Enero" numFmtId="164">
      <sharedItems containsNonDate="0" containsDate="1" containsString="0" containsBlank="1" minDate="2025-01-03T00:00:00" maxDate="2025-12-02T00:00:00"/>
    </cacheField>
    <cacheField name="Diciembre2" numFmtId="0">
      <sharedItems containsString="0" containsBlank="1" containsNumber="1" minValue="25000" maxValue="1400000"/>
    </cacheField>
    <cacheField name="Enero2" numFmtId="0">
      <sharedItems containsString="0" containsBlank="1" containsNumber="1" containsInteger="1" minValue="25000" maxValue="1630000"/>
    </cacheField>
    <cacheField name="Febrero" numFmtId="0">
      <sharedItems containsString="0" containsBlank="1"/>
    </cacheField>
    <cacheField name="V/U" numFmtId="166">
      <sharedItems containsString="0" containsBlank="1" containsNumber="1" minValue="25000" maxValue="1630000"/>
    </cacheField>
    <cacheField name="Responsable" numFmtId="166">
      <sharedItems containsBlank="1" count="4">
        <s v="Santiago Avendaño"/>
        <s v="Tecnovant"/>
        <m/>
        <s v="Camilo Paez"/>
      </sharedItems>
    </cacheField>
    <cacheField name="Total" numFmtId="166">
      <sharedItems containsString="0" containsBlank="1" containsNumber="1" minValue="25000" maxValue="1630000"/>
    </cacheField>
    <cacheField name="Observaciones" numFmtId="166">
      <sharedItems containsBlank="1" count="10">
        <s v="Prestamo Leonardo"/>
        <s v="Nomina Diciembre"/>
        <s v="Prestamo Alejandro"/>
        <s v="Capacitación Alejo"/>
        <s v="Herramientas"/>
        <s v="Repuestos"/>
        <s v="Envíos"/>
        <m/>
        <s v="Mantenimiento"/>
        <s v="Softwar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207.742784374997" createdVersion="8" refreshedVersion="8" minRefreshableVersion="3" recordCount="72" xr:uid="{00000000-000A-0000-FFFF-FFFF01000000}">
  <cacheSource type="worksheet">
    <worksheetSource name="Programacion_2026"/>
  </cacheSource>
  <cacheFields count="19">
    <cacheField name="ITEM" numFmtId="0">
      <sharedItems containsString="0" containsBlank="1" containsNumber="1" containsInteger="1" minValue="1" maxValue="55"/>
    </cacheField>
    <cacheField name="FINCA" numFmtId="0">
      <sharedItems containsBlank="1" count="104">
        <s v="LA LAGUNA"/>
        <s v="LOS NARANJOS"/>
        <s v="MESIAS ORTÍZ"/>
        <s v="LA MARÍA"/>
        <s v="HDA LA CANDELA"/>
        <s v="FINCA LA PALMERITA"/>
        <s v="HDA CAMPORRIOTO"/>
        <s v="HDA LA LOMA"/>
        <s v="HDA LOS CAMPANOS"/>
        <s v="ABEHASS"/>
        <s v="LA MANGA"/>
        <s v="HDA LA CRUZ"/>
        <s v="HDA CORRALEJAS"/>
        <s v="LIMON HISPANIA"/>
        <s v="FINCA FRANCISCO"/>
        <s v="FINCA CHUSCALITO HASS"/>
        <s v="FINCA AGUACATALES SAN RAFAEL"/>
        <s v="FINCA ESPERANZA HASS"/>
        <s v="AGRICOLAS EL RUIZ"/>
        <s v="SAN BERNARDO MR SAS"/>
        <s v="JULIO BETANCUR"/>
        <s v="JULIO GONZALES"/>
        <s v="NELSON MARULANDA"/>
        <m/>
        <s v="FINCA CAMILO GARCÍA" u="1"/>
        <s v="SONORA" u="1"/>
        <s v="ESPINAL" u="1"/>
        <s v="AMAZONAS" u="1"/>
        <s v="MANANTIALES" u="1"/>
        <s v="MERCEDES" u="1"/>
        <s v="BOGOTANOS" u="1"/>
        <s v="EL PANTANO" u="1"/>
        <s v="LA ESTANCIA" u="1"/>
        <s v="LA PLAYA" u="1"/>
        <s v="LA CURIA" u="1"/>
        <s v="CURRUCUTU" u="1"/>
        <s v="LA VEGA" u="1"/>
        <s v="EL INGENIO" u="1"/>
        <s v="VILLA ESPERANZA" u="1"/>
        <s v="LA TERESITA" u="1"/>
        <s v="PRADERA 1" u="1"/>
        <s v="EL RANCHO" u="1"/>
        <s v="EL ENCANTO" u="1"/>
        <s v="LOS LAGOS" u="1"/>
        <s v="LA PERLA" u="1"/>
        <s v="LA CABAÑA" u="1"/>
        <s v="VILLA TATIANA" u="1"/>
        <s v="EL CASTILLO" u="1"/>
        <s v="EL LLANO JGG" u="1"/>
        <s v="EL LAGO CEREZALES" u="1"/>
        <s v="LA PERLA " u="1"/>
        <s v="LA PRADERA 1" u="1"/>
        <s v="LA PRADERA 2" u="1"/>
        <s v="EL RANO JAMAX" u="1"/>
        <s v="LOS LAGOS ESPINAL" u="1"/>
        <s v="PARAISO BELMIRA" u="1"/>
        <s v="PORVENIR" u="1"/>
        <s v="LAS BRISAS" u="1"/>
        <s v="QUEBRADITAS" u="1"/>
        <s v="SAN PUES" u="1"/>
        <s v="CEREZALES" u="1"/>
        <s v="EL HERRERO" u="1"/>
        <s v="SAN JUAN" u="1"/>
        <s v="LA LABRANTIA" u="1"/>
        <s v="CAÑADA HONDA" u="1"/>
        <s v="MONTE REDONDO" u="1"/>
        <s v="VATICANO" u="1"/>
        <s v="CURRUCUTÚ" u="1"/>
        <s v="WILSON PUERTA" u="1"/>
        <s v="VORAGINE" u="1"/>
        <s v="ZANCUDO" u="1"/>
        <s v="YERBABUENA" u="1"/>
        <s v="SAN IGNACIO" u="1"/>
        <s v="PIO 12" u="1"/>
        <s v="EL RANO" u="1"/>
        <s v="EL LLANO" u="1"/>
        <s v="HERRERO CLARAMAR" u="1"/>
        <s v="LA ALMERIA" u="1"/>
        <s v="SANTERRA " u="1"/>
        <s v="HDA CEREZALES" u="1"/>
        <s v="LA TOLDA" u="1"/>
        <s v="LA MARIA" u="1"/>
        <s v="CERO ESTRÉS" u="1"/>
        <s v="TRIUNFO" u="1"/>
        <s v="PIEDECUESTA" u="1"/>
        <s v="ARIZONA" u="1"/>
        <s v="EL JORDAN" u="1"/>
        <s v="REFUGIO" u="1"/>
        <s v="VILLA NURY" u="1"/>
        <s v="LA LETIZIA" u="1"/>
        <s v="EL PARAISO" u="1"/>
        <s v="LA PRADERA" u="1"/>
        <s v="EL EDEN" u="1"/>
        <s v="LA PRADERA FR" u="1"/>
        <s v="LA EMPALIZADA" u="1"/>
        <s v="EL VOLCAN FG" u="1"/>
        <s v="LA PRADERA " u="1"/>
        <s v="EL VOLCAN FR" u="1"/>
        <s v="LA PLAYA FR" u="1"/>
        <s v="EL CHARCON" u="1"/>
        <s v="LA ILUSION" u="1"/>
        <s v="EL LAGO" u="1"/>
        <s v="LA ESPERANZA" u="1"/>
        <s v="SANTORINI" u="1"/>
      </sharedItems>
    </cacheField>
    <cacheField name="POTRERO" numFmtId="0">
      <sharedItems containsBlank="1"/>
    </cacheField>
    <cacheField name="AREA" numFmtId="0">
      <sharedItems containsSemiMixedTypes="0" containsString="0" containsNumber="1" minValue="1" maxValue="158.9"/>
    </cacheField>
    <cacheField name="FECHAPROGRAMACIÓN" numFmtId="165">
      <sharedItems containsSemiMixedTypes="0" containsNonDate="0" containsDate="1" containsString="0" minDate="2026-03-10T00:00:00" maxDate="2026-07-04T00:00:00"/>
    </cacheField>
    <cacheField name="FECHA  EJECUCIÓN" numFmtId="165">
      <sharedItems containsSemiMixedTypes="0" containsNonDate="0" containsDate="1" containsString="0" minDate="2026-03-10T00:00:00" maxDate="2026-07-04T00:00:00"/>
    </cacheField>
    <cacheField name="Dia" numFmtId="0">
      <sharedItems/>
    </cacheField>
    <cacheField name="OBSERVACIONES" numFmtId="0">
      <sharedItems containsBlank="1" count="15">
        <s v="T70P"/>
        <m u="1"/>
        <s v="T25-A" u="1"/>
        <s v="T25" u="1"/>
        <s v="T50-O" u="1"/>
        <s v="T50" u="1"/>
        <s v="T10" u="1"/>
        <s v="T50-T10" u="1"/>
        <s v="T50-T25" u="1"/>
        <s v="T30" u="1"/>
        <s v="T25 CAMBIO " u="1"/>
        <s v="T70" u="1"/>
        <s v="T50 " u="1"/>
        <s v="T50-0" u="1"/>
        <s v="T25 " u="1"/>
      </sharedItems>
    </cacheField>
    <cacheField name="CORTE FACTURACIÓN" numFmtId="49">
      <sharedItems/>
    </cacheField>
    <cacheField name="MES" numFmtId="0">
      <sharedItems containsBlank="1" count="14">
        <s v="MARZO"/>
        <s v="ABRIL"/>
        <s v="MAYO"/>
        <s v="JUNIO"/>
        <s v="JULIO"/>
        <m u="1"/>
        <s v="ENERO" u="1"/>
        <s v="FEBRERO" u="1"/>
        <s v="AGOSTO" u="1"/>
        <s v="SEPTIEMBRE" u="1"/>
        <s v="OCTUBRE" u="1"/>
        <s v="NOVIEMBRE" u="1"/>
        <s v="DICIEMBRE" u="1"/>
        <s v="OCTUBRE 1" u="1"/>
      </sharedItems>
    </cacheField>
    <cacheField name="PRECIO" numFmtId="166">
      <sharedItems containsSemiMixedTypes="0" containsString="0" containsNumber="1" containsInteger="1" minValue="80000" maxValue="280000" count="8">
        <n v="120000"/>
        <n v="140000"/>
        <n v="250000"/>
        <n v="80000"/>
        <n v="280000"/>
        <n v="150000"/>
        <n v="180000"/>
        <n v="210000"/>
      </sharedItems>
    </cacheField>
    <cacheField name="TOTAL FACTURA" numFmtId="166">
      <sharedItems containsSemiMixedTypes="0" containsString="0" containsNumber="1" minValue="210000" maxValue="19068000"/>
    </cacheField>
    <cacheField name="CLIENTE" numFmtId="0">
      <sharedItems containsBlank="1"/>
    </cacheField>
    <cacheField name="PILOTO" numFmtId="0">
      <sharedItems containsBlank="1" count="12">
        <s v="ALEJANDRO VASQUEZ"/>
        <m u="1"/>
        <s v="NEIDER MAZA" u="1"/>
        <s v="JEISON " u="1"/>
        <s v="JUAN MANUEL" u="1"/>
        <s v="LUIS MIGUEL" u="1"/>
        <s v="DAVID LOPEZ" u="1"/>
        <s v="JONATHAN GUIRAL" u="1"/>
        <s v="NEIDER MASA" u="1"/>
        <s v="ALEJANDRO / LUIS MIGUEL" u="1"/>
        <s v="DAVID " u="1"/>
        <s v="Jeis" u="1"/>
      </sharedItems>
    </cacheField>
    <cacheField name="Hora inicio" numFmtId="164">
      <sharedItems containsNonDate="0" containsDate="1" containsString="0" containsBlank="1" minDate="1899-12-30T00:00:00" maxDate="1899-12-30T10:40:00"/>
    </cacheField>
    <cacheField name="Hora Fin" numFmtId="164">
      <sharedItems containsNonDate="0" containsDate="1" containsString="0" containsBlank="1" minDate="1899-12-30T00:00:00" maxDate="1899-12-30T15:30:00"/>
    </cacheField>
    <cacheField name="Tiempo operación" numFmtId="2">
      <sharedItems containsSemiMixedTypes="0" containsString="0" containsNumber="1" minValue="0" maxValue="4.8333333333333348"/>
    </cacheField>
    <cacheField name="Ha's/Hora" numFmtId="2">
      <sharedItems containsString="0" containsBlank="1" containsNumber="1" minValue="0.89379310344827567" maxValue="0.89379310344827567"/>
    </cacheField>
    <cacheField name="FACTURA" numFmtId="49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2">
  <r>
    <s v="traslado leonardo"/>
    <d v="2025-12-01T00:00:00"/>
    <m/>
    <n v="1400000"/>
    <m/>
    <m/>
    <n v="1400000"/>
    <x v="0"/>
    <n v="1400000"/>
    <x v="0"/>
  </r>
  <r>
    <s v="Nómina Leo"/>
    <d v="2025-12-01T00:00:00"/>
    <m/>
    <n v="866000"/>
    <m/>
    <m/>
    <n v="866000"/>
    <x v="0"/>
    <n v="866000"/>
    <x v="1"/>
  </r>
  <r>
    <s v="Prestamo Alejo"/>
    <d v="2025-12-01T00:00:00"/>
    <m/>
    <n v="800000"/>
    <m/>
    <m/>
    <n v="800000"/>
    <x v="0"/>
    <n v="800000"/>
    <x v="2"/>
  </r>
  <r>
    <s v="Viaticos Capacitación Alejo"/>
    <d v="2025-12-01T00:00:00"/>
    <m/>
    <n v="600000"/>
    <m/>
    <m/>
    <n v="600000"/>
    <x v="0"/>
    <n v="600000"/>
    <x v="3"/>
  </r>
  <r>
    <s v="Capacitación Alejandro"/>
    <d v="2025-12-01T00:00:00"/>
    <m/>
    <n v="300000"/>
    <m/>
    <m/>
    <n v="300000"/>
    <x v="1"/>
    <n v="300000"/>
    <x v="3"/>
  </r>
  <r>
    <s v="Herramienta Reparaciones"/>
    <d v="2025-12-01T00:00:00"/>
    <m/>
    <n v="300000"/>
    <m/>
    <m/>
    <n v="300000"/>
    <x v="1"/>
    <n v="300000"/>
    <x v="4"/>
  </r>
  <r>
    <s v="Montante Sprinkler"/>
    <d v="2025-12-01T00:00:00"/>
    <m/>
    <n v="86000"/>
    <m/>
    <m/>
    <n v="86000"/>
    <x v="1"/>
    <n v="86000"/>
    <x v="5"/>
  </r>
  <r>
    <s v="Envío montante"/>
    <m/>
    <d v="2025-12-01T00:00:00"/>
    <n v="25000"/>
    <m/>
    <m/>
    <n v="25000"/>
    <x v="1"/>
    <n v="25000"/>
    <x v="6"/>
  </r>
  <r>
    <s v="Envío Repuestos T10"/>
    <m/>
    <m/>
    <n v="324580"/>
    <m/>
    <m/>
    <n v="324580"/>
    <x v="1"/>
    <n v="324580"/>
    <x v="6"/>
  </r>
  <r>
    <s v="Envío (Fee) Pago Alibaba Repuestos T10"/>
    <m/>
    <m/>
    <n v="220000"/>
    <m/>
    <m/>
    <n v="220000"/>
    <x v="1"/>
    <n v="220000"/>
    <x v="6"/>
  </r>
  <r>
    <s v="Helices T50"/>
    <m/>
    <m/>
    <n v="572854.1"/>
    <m/>
    <m/>
    <n v="572854.1"/>
    <x v="1"/>
    <n v="572854.1"/>
    <x v="5"/>
  </r>
  <r>
    <s v="Envío Helices"/>
    <m/>
    <m/>
    <n v="30000"/>
    <m/>
    <m/>
    <n v="30000"/>
    <x v="1"/>
    <n v="30000"/>
    <x v="6"/>
  </r>
  <r>
    <s v="Helices T25"/>
    <m/>
    <m/>
    <n v="1068524.7999999998"/>
    <m/>
    <m/>
    <n v="1068524.7999999998"/>
    <x v="1"/>
    <n v="1068524.7999999998"/>
    <x v="0"/>
  </r>
  <r>
    <s v="Envío Helices"/>
    <m/>
    <m/>
    <n v="30000"/>
    <m/>
    <m/>
    <n v="30000"/>
    <x v="1"/>
    <n v="30000"/>
    <x v="6"/>
  </r>
  <r>
    <s v="Envío T25 BOG-MED"/>
    <m/>
    <m/>
    <n v="436000"/>
    <m/>
    <m/>
    <n v="436000"/>
    <x v="1"/>
    <n v="436000"/>
    <x v="6"/>
  </r>
  <r>
    <s v="Antenas Control T25"/>
    <m/>
    <d v="2025-01-03T00:00:00"/>
    <m/>
    <n v="308735"/>
    <m/>
    <n v="308735"/>
    <x v="1"/>
    <n v="308735"/>
    <x v="5"/>
  </r>
  <r>
    <m/>
    <m/>
    <m/>
    <m/>
    <m/>
    <m/>
    <m/>
    <x v="2"/>
    <m/>
    <x v="7"/>
  </r>
  <r>
    <m/>
    <m/>
    <m/>
    <m/>
    <m/>
    <m/>
    <m/>
    <x v="2"/>
    <m/>
    <x v="7"/>
  </r>
  <r>
    <s v="Envío Antena"/>
    <m/>
    <d v="2025-01-03T00:00:00"/>
    <m/>
    <n v="60000"/>
    <m/>
    <n v="60000"/>
    <x v="1"/>
    <n v="60000"/>
    <x v="6"/>
  </r>
  <r>
    <s v="Selenoides +Brazo M4"/>
    <m/>
    <d v="2025-01-09T00:00:00"/>
    <m/>
    <n v="1630000"/>
    <m/>
    <n v="1630000"/>
    <x v="0"/>
    <n v="1630000"/>
    <x v="5"/>
  </r>
  <r>
    <s v="Envío Selenoides"/>
    <m/>
    <d v="2025-01-09T00:00:00"/>
    <m/>
    <n v="60000"/>
    <m/>
    <n v="60000"/>
    <x v="1"/>
    <n v="60000"/>
    <x v="6"/>
  </r>
  <r>
    <s v="Soporte Brazo M3"/>
    <m/>
    <d v="2025-01-10T00:00:00"/>
    <m/>
    <n v="687094"/>
    <m/>
    <n v="687094"/>
    <x v="3"/>
    <n v="687094"/>
    <x v="5"/>
  </r>
  <r>
    <s v="Envío Soporte"/>
    <m/>
    <d v="2025-01-10T00:00:00"/>
    <m/>
    <n v="25000"/>
    <m/>
    <n v="25000"/>
    <x v="1"/>
    <n v="25000"/>
    <x v="6"/>
  </r>
  <r>
    <s v="Soporte Brazo M4 Frame Carbon Board Pair"/>
    <m/>
    <d v="2025-01-15T00:00:00"/>
    <m/>
    <n v="432119"/>
    <m/>
    <n v="432119"/>
    <x v="1"/>
    <n v="432119"/>
    <x v="5"/>
  </r>
  <r>
    <s v="Envío Soporte"/>
    <m/>
    <d v="2025-01-15T00:00:00"/>
    <m/>
    <n v="60000"/>
    <m/>
    <n v="60000"/>
    <x v="1"/>
    <n v="60000"/>
    <x v="6"/>
  </r>
  <r>
    <s v="Envío  Repuestos Garantia T25"/>
    <m/>
    <d v="2025-01-15T00:00:00"/>
    <m/>
    <n v="60000"/>
    <m/>
    <n v="60000"/>
    <x v="1"/>
    <n v="60000"/>
    <x v="6"/>
  </r>
  <r>
    <m/>
    <m/>
    <m/>
    <m/>
    <m/>
    <m/>
    <m/>
    <x v="2"/>
    <m/>
    <x v="7"/>
  </r>
  <r>
    <s v="Envío T50"/>
    <m/>
    <d v="2025-01-30T00:00:00"/>
    <m/>
    <n v="1300000"/>
    <m/>
    <n v="1300000"/>
    <x v="1"/>
    <n v="1300000"/>
    <x v="6"/>
  </r>
  <r>
    <s v="Envío Batería Garantía"/>
    <m/>
    <d v="2025-02-12T00:00:00"/>
    <m/>
    <n v="60000"/>
    <m/>
    <n v="60000"/>
    <x v="1"/>
    <n v="60000"/>
    <x v="4"/>
  </r>
  <r>
    <s v="Herramientas y mantto T10"/>
    <m/>
    <d v="2025-02-15T00:00:00"/>
    <m/>
    <n v="680000"/>
    <m/>
    <n v="680000"/>
    <x v="1"/>
    <n v="680000"/>
    <x v="8"/>
  </r>
  <r>
    <s v="Software Contable"/>
    <m/>
    <d v="2025-02-15T00:00:00"/>
    <m/>
    <n v="276000"/>
    <m/>
    <n v="276000"/>
    <x v="1"/>
    <n v="276000"/>
    <x v="9"/>
  </r>
  <r>
    <s v="Viajes San Pedro"/>
    <m/>
    <d v="2025-02-15T00:00:00"/>
    <m/>
    <n v="210400"/>
    <m/>
    <n v="210400"/>
    <x v="1"/>
    <n v="210400"/>
    <x v="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n v="1"/>
    <x v="0"/>
    <s v="LA PELTON"/>
    <n v="4.32"/>
    <d v="2026-03-10T00:00:00"/>
    <d v="2026-03-10T00:00:00"/>
    <s v="MARTES"/>
    <x v="0"/>
    <s v="MAR 2"/>
    <x v="0"/>
    <x v="0"/>
    <n v="518400.00000000006"/>
    <s v="JORGE MORENO"/>
    <x v="0"/>
    <d v="1899-12-30T10:40:00"/>
    <d v="1899-12-30T15:30:00"/>
    <n v="4.8333333333333348"/>
    <n v="0.89379310344827567"/>
    <m/>
  </r>
  <r>
    <n v="2"/>
    <x v="0"/>
    <s v="LA VEGUITA"/>
    <n v="5.75"/>
    <d v="2026-03-10T00:00:00"/>
    <d v="2026-03-10T00:00:00"/>
    <s v="MARTES"/>
    <x v="0"/>
    <s v="MAR 2"/>
    <x v="0"/>
    <x v="0"/>
    <n v="690000"/>
    <s v="JORGE MORENO"/>
    <x v="0"/>
    <d v="1899-12-30T10:40:00"/>
    <d v="1899-12-30T15:30:00"/>
    <n v="4.8333333333333348"/>
    <m/>
    <m/>
  </r>
  <r>
    <n v="3"/>
    <x v="0"/>
    <s v="LA ENTRADA"/>
    <n v="2.4900000000000002"/>
    <d v="2026-03-10T00:00:00"/>
    <d v="2026-03-10T00:00:00"/>
    <s v="MARTES"/>
    <x v="0"/>
    <s v="MAR 2"/>
    <x v="0"/>
    <x v="1"/>
    <n v="348600.00000000006"/>
    <s v="JORGE MORENO"/>
    <x v="0"/>
    <d v="1899-12-30T10:40:00"/>
    <d v="1899-12-30T15:30:00"/>
    <n v="4.8333333333333348"/>
    <m/>
    <m/>
  </r>
  <r>
    <n v="4"/>
    <x v="0"/>
    <s v="LA TRINIDAD"/>
    <n v="1.79"/>
    <d v="2026-03-10T00:00:00"/>
    <d v="2026-03-10T00:00:00"/>
    <s v="MARTES"/>
    <x v="0"/>
    <s v="MAR 2"/>
    <x v="0"/>
    <x v="1"/>
    <n v="250600"/>
    <s v="JORGE MORENO"/>
    <x v="0"/>
    <d v="1899-12-30T10:40:00"/>
    <d v="1899-12-30T15:30:00"/>
    <n v="4.8333333333333348"/>
    <m/>
    <m/>
  </r>
  <r>
    <n v="5"/>
    <x v="0"/>
    <s v="SAN PATRICIO"/>
    <n v="6"/>
    <d v="2026-03-11T00:00:00"/>
    <d v="2026-03-11T00:00:00"/>
    <s v="MIÉRCOLES"/>
    <x v="0"/>
    <s v="MAR 2"/>
    <x v="0"/>
    <x v="1"/>
    <n v="840000"/>
    <s v="JORGE MORENO"/>
    <x v="0"/>
    <m/>
    <m/>
    <n v="0"/>
    <m/>
    <m/>
  </r>
  <r>
    <n v="6"/>
    <x v="0"/>
    <s v="PIRINEO"/>
    <n v="4.1900000000000004"/>
    <d v="2026-03-11T00:00:00"/>
    <d v="2026-03-11T00:00:00"/>
    <s v="MIÉRCOLES"/>
    <x v="0"/>
    <s v="MAR 2"/>
    <x v="0"/>
    <x v="1"/>
    <n v="586600"/>
    <s v="JORGE MORENO"/>
    <x v="0"/>
    <m/>
    <m/>
    <n v="0"/>
    <m/>
    <m/>
  </r>
  <r>
    <n v="7"/>
    <x v="0"/>
    <s v="LA CASCADA"/>
    <n v="3.1"/>
    <d v="2026-03-11T00:00:00"/>
    <d v="2026-03-11T00:00:00"/>
    <s v="MIÉRCOLES"/>
    <x v="0"/>
    <s v="MAR 2"/>
    <x v="0"/>
    <x v="1"/>
    <n v="434000"/>
    <s v="JORGE MORENO"/>
    <x v="0"/>
    <m/>
    <m/>
    <n v="0"/>
    <m/>
    <m/>
  </r>
  <r>
    <n v="8"/>
    <x v="0"/>
    <s v="LA COLINA"/>
    <n v="6"/>
    <d v="2026-03-12T00:00:00"/>
    <d v="2026-03-12T00:00:00"/>
    <s v="JUEVES"/>
    <x v="0"/>
    <s v="MAR 2"/>
    <x v="0"/>
    <x v="0"/>
    <n v="720000"/>
    <s v="JORGE MORENO"/>
    <x v="0"/>
    <m/>
    <m/>
    <n v="0"/>
    <m/>
    <m/>
  </r>
  <r>
    <n v="9"/>
    <x v="0"/>
    <s v="SAN FELIPE"/>
    <n v="11.06"/>
    <d v="2026-03-12T00:00:00"/>
    <d v="2026-03-12T00:00:00"/>
    <s v="JUEVES"/>
    <x v="0"/>
    <s v="MAR 2"/>
    <x v="0"/>
    <x v="0"/>
    <n v="1327200"/>
    <s v="JORGE MORENO"/>
    <x v="0"/>
    <m/>
    <m/>
    <n v="0"/>
    <m/>
    <m/>
  </r>
  <r>
    <n v="10"/>
    <x v="0"/>
    <s v="SAN FELIPE"/>
    <n v="11.09"/>
    <d v="2026-03-13T00:00:00"/>
    <d v="2026-03-13T00:00:00"/>
    <s v="VIERNES"/>
    <x v="0"/>
    <s v="MAR 2"/>
    <x v="0"/>
    <x v="0"/>
    <n v="1330800"/>
    <s v="JORGE MORENO"/>
    <x v="0"/>
    <m/>
    <m/>
    <n v="0"/>
    <m/>
    <m/>
  </r>
  <r>
    <n v="11"/>
    <x v="1"/>
    <s v="HOSPITAL"/>
    <n v="6.8"/>
    <d v="2026-03-13T00:00:00"/>
    <d v="2026-03-13T00:00:00"/>
    <s v="VIERNES"/>
    <x v="0"/>
    <s v="MAR 2"/>
    <x v="0"/>
    <x v="0"/>
    <n v="816000"/>
    <s v="JORGE MORENO"/>
    <x v="0"/>
    <m/>
    <m/>
    <n v="0"/>
    <m/>
    <m/>
  </r>
  <r>
    <n v="12"/>
    <x v="1"/>
    <s v="MAR"/>
    <n v="2.95"/>
    <d v="2026-03-13T00:00:00"/>
    <d v="2026-03-13T00:00:00"/>
    <s v="VIERNES"/>
    <x v="0"/>
    <s v="MAR 2"/>
    <x v="0"/>
    <x v="0"/>
    <n v="354000"/>
    <s v="JORGE MORENO"/>
    <x v="0"/>
    <m/>
    <m/>
    <n v="0"/>
    <m/>
    <m/>
  </r>
  <r>
    <n v="13"/>
    <x v="1"/>
    <s v="LA VEGA"/>
    <n v="2.87"/>
    <d v="2026-03-13T00:00:00"/>
    <d v="2026-03-13T00:00:00"/>
    <s v="VIERNES"/>
    <x v="0"/>
    <s v="MAR 2"/>
    <x v="0"/>
    <x v="0"/>
    <n v="344400"/>
    <s v="JORGE MORENO"/>
    <x v="0"/>
    <m/>
    <m/>
    <n v="0"/>
    <m/>
    <m/>
  </r>
  <r>
    <n v="14"/>
    <x v="1"/>
    <s v="LA VEGA"/>
    <n v="6.87"/>
    <d v="2026-03-14T00:00:00"/>
    <d v="2026-03-14T00:00:00"/>
    <s v="SÁBADO"/>
    <x v="0"/>
    <s v="MAR 2"/>
    <x v="0"/>
    <x v="0"/>
    <n v="824400"/>
    <s v="JORGE MORENO"/>
    <x v="0"/>
    <m/>
    <m/>
    <n v="0"/>
    <m/>
    <m/>
  </r>
  <r>
    <n v="15"/>
    <x v="1"/>
    <s v="ARENA"/>
    <n v="4.42"/>
    <d v="2026-03-14T00:00:00"/>
    <d v="2026-03-14T00:00:00"/>
    <s v="SÁBADO"/>
    <x v="0"/>
    <s v="MAR 2"/>
    <x v="0"/>
    <x v="0"/>
    <n v="530400"/>
    <s v="JORGE MORENO"/>
    <x v="0"/>
    <m/>
    <m/>
    <n v="0"/>
    <m/>
    <m/>
  </r>
  <r>
    <n v="16"/>
    <x v="1"/>
    <s v="EL RECREO"/>
    <n v="6.86"/>
    <d v="2026-03-14T00:00:00"/>
    <d v="2026-03-14T00:00:00"/>
    <s v="SÁBADO"/>
    <x v="0"/>
    <s v="MAR 2"/>
    <x v="0"/>
    <x v="0"/>
    <n v="823200"/>
    <s v="JORGE MORENO"/>
    <x v="0"/>
    <m/>
    <m/>
    <n v="0"/>
    <m/>
    <m/>
  </r>
  <r>
    <n v="17"/>
    <x v="1"/>
    <s v="ORIENTE 1"/>
    <n v="6.8"/>
    <d v="2026-03-16T00:00:00"/>
    <d v="2026-03-16T00:00:00"/>
    <s v="LUNES"/>
    <x v="0"/>
    <s v="MAR 2"/>
    <x v="0"/>
    <x v="0"/>
    <n v="816000"/>
    <s v="JORGE MORENO"/>
    <x v="0"/>
    <m/>
    <m/>
    <n v="0"/>
    <m/>
    <m/>
  </r>
  <r>
    <n v="18"/>
    <x v="1"/>
    <s v="ORIENTE 2"/>
    <n v="2.5"/>
    <d v="2026-03-16T00:00:00"/>
    <d v="2026-03-16T00:00:00"/>
    <s v="LUNES"/>
    <x v="0"/>
    <s v="MAR 2"/>
    <x v="0"/>
    <x v="0"/>
    <n v="300000"/>
    <s v="JORGE MORENO"/>
    <x v="0"/>
    <m/>
    <m/>
    <n v="0"/>
    <m/>
    <m/>
  </r>
  <r>
    <n v="19"/>
    <x v="1"/>
    <s v="ORIENTE "/>
    <n v="2.68"/>
    <d v="2026-03-17T00:00:00"/>
    <d v="2026-03-17T00:00:00"/>
    <s v="MARTES"/>
    <x v="0"/>
    <s v="MAR 2"/>
    <x v="0"/>
    <x v="0"/>
    <n v="321600"/>
    <s v="JORGE MORENO"/>
    <x v="0"/>
    <m/>
    <m/>
    <n v="0"/>
    <m/>
    <m/>
  </r>
  <r>
    <n v="20"/>
    <x v="1"/>
    <s v="OCCIDENTE 2"/>
    <n v="5.28"/>
    <d v="2026-03-17T00:00:00"/>
    <d v="2026-03-17T00:00:00"/>
    <s v="MARTES"/>
    <x v="0"/>
    <s v="MAR 2"/>
    <x v="0"/>
    <x v="1"/>
    <n v="739200"/>
    <s v="JORGE MORENO"/>
    <x v="0"/>
    <m/>
    <m/>
    <n v="0"/>
    <m/>
    <m/>
  </r>
  <r>
    <n v="21"/>
    <x v="1"/>
    <s v="OCCIDENTE 1"/>
    <n v="10.220000000000001"/>
    <d v="2026-03-17T00:00:00"/>
    <d v="2026-03-17T00:00:00"/>
    <s v="MARTES"/>
    <x v="0"/>
    <s v="MAR 2"/>
    <x v="0"/>
    <x v="0"/>
    <n v="1226400"/>
    <s v="JORGE MORENO"/>
    <x v="0"/>
    <m/>
    <m/>
    <n v="0"/>
    <m/>
    <m/>
  </r>
  <r>
    <n v="22"/>
    <x v="1"/>
    <s v="LAS PIEDRAS"/>
    <n v="3.88"/>
    <d v="2026-03-17T00:00:00"/>
    <d v="2026-03-17T00:00:00"/>
    <s v="MARTES"/>
    <x v="0"/>
    <s v="MAR 2"/>
    <x v="0"/>
    <x v="0"/>
    <n v="465600"/>
    <s v="JORGE MORENO"/>
    <x v="0"/>
    <m/>
    <m/>
    <n v="0"/>
    <m/>
    <m/>
  </r>
  <r>
    <n v="23"/>
    <x v="1"/>
    <s v="EL BRASIL"/>
    <n v="4.66"/>
    <d v="2026-03-17T00:00:00"/>
    <d v="2026-03-17T00:00:00"/>
    <s v="MARTES"/>
    <x v="0"/>
    <s v="MAR 2"/>
    <x v="0"/>
    <x v="0"/>
    <n v="559200"/>
    <s v="JORGE MORENO"/>
    <x v="0"/>
    <m/>
    <m/>
    <n v="0"/>
    <m/>
    <m/>
  </r>
  <r>
    <n v="24"/>
    <x v="2"/>
    <s v="LOS BOLIVANIOS"/>
    <n v="17.04"/>
    <d v="2026-03-19T00:00:00"/>
    <d v="2026-03-19T00:00:00"/>
    <s v="JUEVES"/>
    <x v="0"/>
    <s v="MAR 2"/>
    <x v="0"/>
    <x v="2"/>
    <n v="4260000"/>
    <s v="MESIAS ORTÍZ"/>
    <x v="0"/>
    <d v="1899-12-30T00:00:00"/>
    <d v="1899-12-30T00:00:00"/>
    <n v="0"/>
    <m/>
    <m/>
  </r>
  <r>
    <n v="25"/>
    <x v="3"/>
    <s v="LA MARÍA"/>
    <n v="11.02"/>
    <d v="2026-03-25T00:00:00"/>
    <d v="2026-03-25T00:00:00"/>
    <s v="MIÉRCOLES"/>
    <x v="0"/>
    <s v="MAR 2"/>
    <x v="0"/>
    <x v="0"/>
    <n v="1322400"/>
    <s v="CAMILO GIRALDO"/>
    <x v="0"/>
    <m/>
    <m/>
    <n v="0"/>
    <m/>
    <m/>
  </r>
  <r>
    <n v="26"/>
    <x v="3"/>
    <s v="POTREROS 6-12"/>
    <n v="17.649999999999999"/>
    <d v="2026-03-26T00:00:00"/>
    <d v="2026-03-26T00:00:00"/>
    <s v="JUEVES"/>
    <x v="0"/>
    <s v="MAR 2"/>
    <x v="0"/>
    <x v="0"/>
    <n v="2118000"/>
    <s v="CAMILO GIRALDO"/>
    <x v="0"/>
    <m/>
    <m/>
    <n v="0"/>
    <m/>
    <m/>
  </r>
  <r>
    <n v="27"/>
    <x v="3"/>
    <s v="POTRERO 13"/>
    <n v="6.86"/>
    <d v="2026-03-27T00:00:00"/>
    <d v="2026-03-27T00:00:00"/>
    <s v="VIERNES"/>
    <x v="0"/>
    <s v="MAR 2"/>
    <x v="0"/>
    <x v="0"/>
    <n v="823200"/>
    <s v="CAMILO GIRALDO"/>
    <x v="0"/>
    <m/>
    <m/>
    <n v="0"/>
    <m/>
    <m/>
  </r>
  <r>
    <n v="28"/>
    <x v="3"/>
    <s v="POTREROS 14-17"/>
    <n v="19.8"/>
    <d v="2026-03-30T00:00:00"/>
    <d v="2026-03-30T00:00:00"/>
    <s v="LUNES"/>
    <x v="0"/>
    <s v="MAR 2"/>
    <x v="0"/>
    <x v="0"/>
    <n v="2376000"/>
    <s v="CAMILO GIRALDO"/>
    <x v="0"/>
    <m/>
    <m/>
    <n v="0"/>
    <m/>
    <m/>
  </r>
  <r>
    <n v="29"/>
    <x v="3"/>
    <s v="FALTANTE"/>
    <n v="14.1"/>
    <d v="2026-03-31T00:00:00"/>
    <d v="2026-03-31T00:00:00"/>
    <s v="MARTES"/>
    <x v="0"/>
    <s v="MAR 2"/>
    <x v="0"/>
    <x v="0"/>
    <n v="1692000"/>
    <s v="CAMILO GIRALDO"/>
    <x v="0"/>
    <m/>
    <m/>
    <n v="0"/>
    <m/>
    <m/>
  </r>
  <r>
    <n v="30"/>
    <x v="3"/>
    <s v="APLICACIÓN NANO"/>
    <n v="17.240000000000009"/>
    <d v="2026-03-31T00:00:00"/>
    <d v="2026-03-31T00:00:00"/>
    <s v="MARTES"/>
    <x v="0"/>
    <s v="MAR 2"/>
    <x v="0"/>
    <x v="0"/>
    <n v="2068800.0000000012"/>
    <s v="CAMILO GIRALDO"/>
    <x v="0"/>
    <m/>
    <m/>
    <n v="0"/>
    <m/>
    <m/>
  </r>
  <r>
    <n v="31"/>
    <x v="3"/>
    <s v="NANOFERTILIZANTE"/>
    <n v="86.67"/>
    <d v="2026-04-01T00:00:00"/>
    <d v="2026-04-01T00:00:00"/>
    <s v="MIÉRCOLES"/>
    <x v="0"/>
    <s v="MAR 2"/>
    <x v="1"/>
    <x v="3"/>
    <n v="6933600"/>
    <s v="CAMILO GIRALDO"/>
    <x v="0"/>
    <m/>
    <m/>
    <n v="0"/>
    <m/>
    <m/>
  </r>
  <r>
    <n v="32"/>
    <x v="4"/>
    <m/>
    <n v="9"/>
    <d v="2026-04-22T00:00:00"/>
    <d v="2026-04-22T00:00:00"/>
    <s v="MIÉRCOLES"/>
    <x v="0"/>
    <s v="ABRIL 2"/>
    <x v="1"/>
    <x v="0"/>
    <n v="1080000"/>
    <m/>
    <x v="0"/>
    <m/>
    <m/>
    <n v="0"/>
    <m/>
    <m/>
  </r>
  <r>
    <n v="33"/>
    <x v="5"/>
    <m/>
    <n v="10.5"/>
    <d v="2026-04-28T00:00:00"/>
    <d v="2026-04-28T00:00:00"/>
    <s v="MARTES"/>
    <x v="0"/>
    <s v="ABRIL 2"/>
    <x v="1"/>
    <x v="0"/>
    <n v="1260000"/>
    <m/>
    <x v="0"/>
    <m/>
    <m/>
    <n v="0"/>
    <m/>
    <m/>
  </r>
  <r>
    <n v="34"/>
    <x v="6"/>
    <m/>
    <n v="12.6"/>
    <d v="2026-04-29T00:00:00"/>
    <d v="2026-04-29T00:00:00"/>
    <s v="MIÉRCOLES"/>
    <x v="0"/>
    <s v="ABRIL 2"/>
    <x v="1"/>
    <x v="0"/>
    <n v="1512000"/>
    <m/>
    <x v="0"/>
    <m/>
    <m/>
    <n v="0"/>
    <m/>
    <m/>
  </r>
  <r>
    <n v="35"/>
    <x v="6"/>
    <m/>
    <n v="7.9"/>
    <d v="2026-04-30T00:00:00"/>
    <d v="2026-04-30T00:00:00"/>
    <s v="JUEVES"/>
    <x v="0"/>
    <s v="ABRIL 2"/>
    <x v="1"/>
    <x v="0"/>
    <n v="948000"/>
    <m/>
    <x v="0"/>
    <m/>
    <m/>
    <n v="0"/>
    <m/>
    <m/>
  </r>
  <r>
    <n v="36"/>
    <x v="7"/>
    <m/>
    <n v="10.6"/>
    <d v="2026-05-01T00:00:00"/>
    <d v="2026-05-01T00:00:00"/>
    <s v="VIERNES"/>
    <x v="0"/>
    <s v="ABRIL 2"/>
    <x v="2"/>
    <x v="0"/>
    <n v="1272000"/>
    <m/>
    <x v="0"/>
    <m/>
    <m/>
    <n v="0"/>
    <m/>
    <m/>
  </r>
  <r>
    <n v="37"/>
    <x v="6"/>
    <m/>
    <n v="20.5"/>
    <d v="2026-05-06T00:00:00"/>
    <d v="2026-05-06T00:00:00"/>
    <s v="MIÉRCOLES"/>
    <x v="0"/>
    <s v="ABRIL 2"/>
    <x v="2"/>
    <x v="0"/>
    <n v="2460000"/>
    <m/>
    <x v="0"/>
    <m/>
    <m/>
    <n v="0"/>
    <m/>
    <m/>
  </r>
  <r>
    <n v="38"/>
    <x v="7"/>
    <m/>
    <n v="10.6"/>
    <d v="2026-05-06T00:00:00"/>
    <d v="2026-05-06T00:00:00"/>
    <s v="MIÉRCOLES"/>
    <x v="0"/>
    <s v="ABRIL 2"/>
    <x v="2"/>
    <x v="0"/>
    <n v="1272000"/>
    <m/>
    <x v="0"/>
    <m/>
    <m/>
    <n v="0"/>
    <m/>
    <m/>
  </r>
  <r>
    <n v="39"/>
    <x v="8"/>
    <m/>
    <n v="24.4"/>
    <d v="2026-05-07T00:00:00"/>
    <d v="2026-05-07T00:00:00"/>
    <s v="JUEVES"/>
    <x v="0"/>
    <s v="ABRIL 2"/>
    <x v="2"/>
    <x v="0"/>
    <n v="2928000"/>
    <m/>
    <x v="0"/>
    <m/>
    <m/>
    <n v="0"/>
    <m/>
    <m/>
  </r>
  <r>
    <n v="40"/>
    <x v="9"/>
    <m/>
    <n v="27.7"/>
    <d v="2026-05-14T00:00:00"/>
    <d v="2026-05-14T00:00:00"/>
    <s v="JUEVES"/>
    <x v="0"/>
    <s v="ABRIL 2"/>
    <x v="2"/>
    <x v="2"/>
    <n v="6925000"/>
    <m/>
    <x v="0"/>
    <m/>
    <m/>
    <n v="0"/>
    <m/>
    <m/>
  </r>
  <r>
    <n v="41"/>
    <x v="10"/>
    <m/>
    <n v="3"/>
    <d v="2026-05-14T00:00:00"/>
    <d v="2026-05-14T00:00:00"/>
    <s v="JUEVES"/>
    <x v="0"/>
    <s v="ABRIL 2"/>
    <x v="2"/>
    <x v="2"/>
    <n v="750000"/>
    <m/>
    <x v="0"/>
    <m/>
    <m/>
    <n v="0"/>
    <m/>
    <m/>
  </r>
  <r>
    <n v="42"/>
    <x v="11"/>
    <m/>
    <n v="4.5"/>
    <d v="2026-05-19T00:00:00"/>
    <d v="2026-05-19T00:00:00"/>
    <s v="MARTES"/>
    <x v="0"/>
    <s v="ABRIL 2"/>
    <x v="2"/>
    <x v="2"/>
    <n v="1125000"/>
    <m/>
    <x v="0"/>
    <m/>
    <m/>
    <n v="0"/>
    <m/>
    <m/>
  </r>
  <r>
    <n v="43"/>
    <x v="11"/>
    <m/>
    <n v="5.84"/>
    <d v="2026-05-19T00:00:00"/>
    <d v="2026-05-19T00:00:00"/>
    <s v="MARTES"/>
    <x v="0"/>
    <s v="ABRIL 2"/>
    <x v="2"/>
    <x v="4"/>
    <n v="1635200"/>
    <m/>
    <x v="0"/>
    <m/>
    <m/>
    <n v="0"/>
    <m/>
    <m/>
  </r>
  <r>
    <n v="44"/>
    <x v="11"/>
    <m/>
    <n v="13.75"/>
    <d v="2026-05-20T00:00:00"/>
    <d v="2026-05-20T00:00:00"/>
    <s v="MIÉRCOLES"/>
    <x v="0"/>
    <s v="ABRIL 2"/>
    <x v="2"/>
    <x v="4"/>
    <n v="3850000"/>
    <m/>
    <x v="0"/>
    <m/>
    <m/>
    <n v="0"/>
    <m/>
    <m/>
  </r>
  <r>
    <n v="45"/>
    <x v="11"/>
    <m/>
    <n v="1.6"/>
    <d v="2026-05-21T00:00:00"/>
    <d v="2026-05-21T00:00:00"/>
    <s v="JUEVES"/>
    <x v="0"/>
    <s v="ABRIL 2"/>
    <x v="2"/>
    <x v="4"/>
    <n v="448000"/>
    <m/>
    <x v="0"/>
    <m/>
    <m/>
    <n v="0"/>
    <m/>
    <m/>
  </r>
  <r>
    <n v="46"/>
    <x v="11"/>
    <m/>
    <n v="6.7"/>
    <d v="2026-05-21T00:00:00"/>
    <d v="2026-05-21T00:00:00"/>
    <s v="JUEVES"/>
    <x v="0"/>
    <s v="ABRIL 2"/>
    <x v="2"/>
    <x v="4"/>
    <n v="1876000"/>
    <m/>
    <x v="0"/>
    <m/>
    <m/>
    <n v="0"/>
    <m/>
    <m/>
  </r>
  <r>
    <n v="47"/>
    <x v="11"/>
    <m/>
    <n v="4.5999999999999996"/>
    <d v="2026-05-21T00:00:00"/>
    <d v="2026-05-21T00:00:00"/>
    <s v="JUEVES"/>
    <x v="0"/>
    <s v="ABRIL 2"/>
    <x v="2"/>
    <x v="4"/>
    <n v="1288000"/>
    <m/>
    <x v="0"/>
    <m/>
    <m/>
    <n v="0"/>
    <m/>
    <m/>
  </r>
  <r>
    <n v="48"/>
    <x v="11"/>
    <m/>
    <n v="8.6"/>
    <d v="2026-05-22T00:00:00"/>
    <d v="2026-05-22T00:00:00"/>
    <s v="VIERNES"/>
    <x v="0"/>
    <s v="ABRIL 2"/>
    <x v="2"/>
    <x v="2"/>
    <n v="2150000"/>
    <m/>
    <x v="0"/>
    <m/>
    <m/>
    <n v="0"/>
    <m/>
    <m/>
  </r>
  <r>
    <n v="49"/>
    <x v="12"/>
    <m/>
    <n v="18.7"/>
    <d v="2026-05-25T00:00:00"/>
    <d v="2026-05-27T00:00:00"/>
    <s v="MIÉRCOLES"/>
    <x v="0"/>
    <s v="ABRIL 2"/>
    <x v="2"/>
    <x v="5"/>
    <n v="2805000"/>
    <m/>
    <x v="0"/>
    <m/>
    <m/>
    <n v="0"/>
    <m/>
    <m/>
  </r>
  <r>
    <n v="50"/>
    <x v="12"/>
    <m/>
    <n v="13.5"/>
    <d v="2026-05-26T00:00:00"/>
    <d v="2026-05-27T00:00:00"/>
    <s v="MIÉRCOLES"/>
    <x v="0"/>
    <s v="ABRIL 2"/>
    <x v="2"/>
    <x v="5"/>
    <n v="2025000"/>
    <m/>
    <x v="0"/>
    <m/>
    <m/>
    <n v="0"/>
    <m/>
    <m/>
  </r>
  <r>
    <n v="51"/>
    <x v="12"/>
    <m/>
    <n v="15.3"/>
    <d v="2026-05-28T00:00:00"/>
    <d v="2026-05-28T00:00:00"/>
    <s v="JUEVES"/>
    <x v="0"/>
    <s v="ABRIL 2"/>
    <x v="2"/>
    <x v="5"/>
    <n v="2295000"/>
    <m/>
    <x v="0"/>
    <m/>
    <m/>
    <n v="0"/>
    <m/>
    <m/>
  </r>
  <r>
    <n v="52"/>
    <x v="12"/>
    <m/>
    <n v="12"/>
    <d v="2026-05-29T00:00:00"/>
    <d v="2026-05-29T00:00:00"/>
    <s v="VIERNES"/>
    <x v="0"/>
    <s v="ABRIL 2"/>
    <x v="2"/>
    <x v="5"/>
    <n v="1800000"/>
    <m/>
    <x v="0"/>
    <m/>
    <m/>
    <n v="0"/>
    <m/>
    <m/>
  </r>
  <r>
    <n v="53"/>
    <x v="13"/>
    <m/>
    <n v="3.2"/>
    <d v="2026-05-30T00:00:00"/>
    <d v="2026-05-30T00:00:00"/>
    <s v="SÁBADO"/>
    <x v="0"/>
    <s v="ABRIL 2"/>
    <x v="2"/>
    <x v="2"/>
    <n v="800000"/>
    <m/>
    <x v="0"/>
    <m/>
    <m/>
    <n v="0"/>
    <m/>
    <m/>
  </r>
  <r>
    <n v="53"/>
    <x v="14"/>
    <m/>
    <n v="4.3"/>
    <d v="2026-05-30T00:00:00"/>
    <d v="2026-05-30T00:00:00"/>
    <s v="SÁBADO"/>
    <x v="0"/>
    <s v="ABRIL 2"/>
    <x v="2"/>
    <x v="2"/>
    <n v="1075000"/>
    <m/>
    <x v="0"/>
    <m/>
    <m/>
    <n v="0"/>
    <m/>
    <m/>
  </r>
  <r>
    <n v="54"/>
    <x v="15"/>
    <m/>
    <n v="5.3"/>
    <d v="2026-06-03T00:00:00"/>
    <d v="2026-06-07T00:00:00"/>
    <s v="DOMINGO"/>
    <x v="0"/>
    <s v="ABRIL 2"/>
    <x v="3"/>
    <x v="6"/>
    <n v="954000"/>
    <m/>
    <x v="0"/>
    <m/>
    <m/>
    <n v="0"/>
    <m/>
    <m/>
  </r>
  <r>
    <n v="54"/>
    <x v="15"/>
    <m/>
    <n v="1"/>
    <d v="2026-06-03T00:00:00"/>
    <d v="2026-06-07T00:00:00"/>
    <s v="DOMINGO"/>
    <x v="0"/>
    <s v="ABRIL 2"/>
    <x v="3"/>
    <x v="7"/>
    <n v="210000"/>
    <m/>
    <x v="0"/>
    <m/>
    <m/>
    <n v="0"/>
    <m/>
    <m/>
  </r>
  <r>
    <n v="54"/>
    <x v="16"/>
    <m/>
    <n v="3.4"/>
    <d v="2026-06-03T00:00:00"/>
    <d v="2026-06-07T00:00:00"/>
    <s v="DOMINGO"/>
    <x v="0"/>
    <s v="ABRIL 2"/>
    <x v="3"/>
    <x v="6"/>
    <n v="612000"/>
    <m/>
    <x v="0"/>
    <m/>
    <m/>
    <n v="0"/>
    <m/>
    <m/>
  </r>
  <r>
    <n v="54"/>
    <x v="16"/>
    <m/>
    <n v="1"/>
    <d v="2026-06-03T00:00:00"/>
    <d v="2026-06-07T00:00:00"/>
    <s v="DOMINGO"/>
    <x v="0"/>
    <s v="ABRIL 2"/>
    <x v="3"/>
    <x v="7"/>
    <n v="210000"/>
    <m/>
    <x v="0"/>
    <m/>
    <m/>
    <n v="0"/>
    <m/>
    <m/>
  </r>
  <r>
    <m/>
    <x v="17"/>
    <m/>
    <n v="7"/>
    <d v="2026-06-03T00:00:00"/>
    <d v="2026-06-07T00:00:00"/>
    <s v="DOMINGO"/>
    <x v="0"/>
    <s v="ABRIL 2"/>
    <x v="3"/>
    <x v="6"/>
    <n v="1260000"/>
    <m/>
    <x v="0"/>
    <m/>
    <m/>
    <n v="0"/>
    <m/>
    <m/>
  </r>
  <r>
    <m/>
    <x v="17"/>
    <m/>
    <n v="1"/>
    <d v="2026-06-03T00:00:00"/>
    <d v="2026-06-07T00:00:00"/>
    <s v="DOMINGO"/>
    <x v="0"/>
    <s v="ABRIL 2"/>
    <x v="3"/>
    <x v="7"/>
    <n v="210000"/>
    <m/>
    <x v="0"/>
    <m/>
    <m/>
    <n v="0"/>
    <m/>
    <m/>
  </r>
  <r>
    <m/>
    <x v="18"/>
    <m/>
    <n v="5"/>
    <d v="2026-06-03T00:00:00"/>
    <d v="2026-06-07T00:00:00"/>
    <s v="DOMINGO"/>
    <x v="0"/>
    <s v="ABRIL 2"/>
    <x v="3"/>
    <x v="4"/>
    <n v="1400000"/>
    <m/>
    <x v="0"/>
    <m/>
    <m/>
    <n v="0"/>
    <m/>
    <m/>
  </r>
  <r>
    <m/>
    <x v="19"/>
    <m/>
    <n v="1.8"/>
    <d v="2026-06-03T00:00:00"/>
    <d v="2026-06-07T00:00:00"/>
    <s v="DOMINGO"/>
    <x v="0"/>
    <s v="ABRIL 2"/>
    <x v="3"/>
    <x v="2"/>
    <n v="450000"/>
    <m/>
    <x v="0"/>
    <m/>
    <m/>
    <n v="0"/>
    <m/>
    <m/>
  </r>
  <r>
    <m/>
    <x v="19"/>
    <m/>
    <n v="18.7"/>
    <d v="2026-06-03T00:00:00"/>
    <d v="2026-06-07T00:00:00"/>
    <s v="DOMINGO"/>
    <x v="0"/>
    <s v="ABRIL 2"/>
    <x v="3"/>
    <x v="4"/>
    <n v="5236000"/>
    <m/>
    <x v="0"/>
    <m/>
    <m/>
    <n v="0"/>
    <m/>
    <m/>
  </r>
  <r>
    <n v="55"/>
    <x v="20"/>
    <m/>
    <n v="147.19999999999999"/>
    <d v="2026-06-10T00:00:00"/>
    <d v="2026-06-20T00:00:00"/>
    <s v="SÁBADO"/>
    <x v="0"/>
    <s v="ABRIL 2"/>
    <x v="3"/>
    <x v="0"/>
    <n v="17664000"/>
    <m/>
    <x v="0"/>
    <m/>
    <m/>
    <n v="0"/>
    <m/>
    <m/>
  </r>
  <r>
    <n v="55"/>
    <x v="20"/>
    <m/>
    <n v="158.9"/>
    <d v="2026-07-03T00:00:00"/>
    <d v="2026-07-03T00:00:00"/>
    <s v="VIERNES"/>
    <x v="0"/>
    <s v="ABRIL 2"/>
    <x v="4"/>
    <x v="0"/>
    <n v="19068000"/>
    <m/>
    <x v="0"/>
    <m/>
    <m/>
    <n v="0"/>
    <m/>
    <m/>
  </r>
  <r>
    <n v="55"/>
    <x v="21"/>
    <m/>
    <n v="8.6"/>
    <d v="2026-06-10T00:00:00"/>
    <d v="2026-06-20T00:00:00"/>
    <s v="SÁBADO"/>
    <x v="0"/>
    <s v="ABRIL 2"/>
    <x v="3"/>
    <x v="2"/>
    <n v="2150000"/>
    <m/>
    <x v="0"/>
    <m/>
    <m/>
    <n v="0"/>
    <m/>
    <m/>
  </r>
  <r>
    <n v="55"/>
    <x v="22"/>
    <m/>
    <n v="16"/>
    <d v="2026-06-10T00:00:00"/>
    <d v="2026-06-20T00:00:00"/>
    <s v="SÁBADO"/>
    <x v="0"/>
    <s v="ABRIL 2"/>
    <x v="3"/>
    <x v="2"/>
    <n v="4000000"/>
    <m/>
    <x v="0"/>
    <m/>
    <m/>
    <n v="0"/>
    <m/>
    <m/>
  </r>
  <r>
    <n v="55"/>
    <x v="23"/>
    <m/>
    <n v="16"/>
    <d v="2026-06-10T00:00:00"/>
    <d v="2026-06-20T00:00:00"/>
    <s v="SÁBADO"/>
    <x v="0"/>
    <s v="ABRIL 2"/>
    <x v="3"/>
    <x v="2"/>
    <n v="4000000"/>
    <m/>
    <x v="0"/>
    <m/>
    <m/>
    <n v="0"/>
    <m/>
    <m/>
  </r>
  <r>
    <n v="55"/>
    <x v="23"/>
    <m/>
    <n v="16"/>
    <d v="2026-06-10T00:00:00"/>
    <d v="2026-06-20T00:00:00"/>
    <s v="SÁBADO"/>
    <x v="0"/>
    <s v="ABRIL 2"/>
    <x v="3"/>
    <x v="2"/>
    <n v="4000000"/>
    <m/>
    <x v="0"/>
    <m/>
    <m/>
    <n v="0"/>
    <m/>
    <m/>
  </r>
  <r>
    <n v="55"/>
    <x v="23"/>
    <m/>
    <n v="16"/>
    <d v="2026-06-10T00:00:00"/>
    <d v="2026-06-20T00:00:00"/>
    <s v="SÁBADO"/>
    <x v="0"/>
    <s v="ABRIL 2"/>
    <x v="3"/>
    <x v="2"/>
    <n v="4000000"/>
    <m/>
    <x v="0"/>
    <m/>
    <m/>
    <n v="0"/>
    <m/>
    <m/>
  </r>
  <r>
    <n v="55"/>
    <x v="23"/>
    <m/>
    <n v="16"/>
    <d v="2026-06-10T00:00:00"/>
    <d v="2026-06-20T00:00:00"/>
    <s v="SÁBADO"/>
    <x v="0"/>
    <s v="ABRIL 2"/>
    <x v="3"/>
    <x v="2"/>
    <n v="4000000"/>
    <m/>
    <x v="0"/>
    <m/>
    <m/>
    <n v="0"/>
    <m/>
    <m/>
  </r>
  <r>
    <n v="55"/>
    <x v="23"/>
    <m/>
    <n v="16"/>
    <d v="2026-06-10T00:00:00"/>
    <d v="2026-06-20T00:00:00"/>
    <s v="SÁBADO"/>
    <x v="0"/>
    <s v="ABRIL 2"/>
    <x v="3"/>
    <x v="2"/>
    <n v="4000000"/>
    <m/>
    <x v="0"/>
    <m/>
    <m/>
    <n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9101CB-BD66-4930-ADDE-8D8CB0C5E625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X3:AD29" firstHeaderRow="1" firstDataRow="2" firstDataCol="1"/>
  <pivotFields count="19">
    <pivotField showAll="0"/>
    <pivotField axis="axisRow" showAll="0" sortType="descending">
      <items count="105">
        <item x="9"/>
        <item m="1" x="27"/>
        <item m="1" x="85"/>
        <item m="1" x="30"/>
        <item m="1" x="64"/>
        <item m="1" x="60"/>
        <item m="1" x="82"/>
        <item m="1" x="35"/>
        <item m="1" x="67"/>
        <item m="1" x="47"/>
        <item m="1" x="99"/>
        <item m="1" x="92"/>
        <item m="1" x="42"/>
        <item m="1" x="61"/>
        <item m="1" x="37"/>
        <item m="1" x="86"/>
        <item m="1" x="101"/>
        <item m="1" x="49"/>
        <item m="1" x="75"/>
        <item m="1" x="48"/>
        <item m="1" x="31"/>
        <item m="1" x="90"/>
        <item m="1" x="41"/>
        <item m="1" x="74"/>
        <item m="1" x="53"/>
        <item m="1" x="95"/>
        <item m="1" x="97"/>
        <item m="1" x="26"/>
        <item x="5"/>
        <item x="6"/>
        <item m="1" x="79"/>
        <item x="4"/>
        <item x="11"/>
        <item x="7"/>
        <item x="8"/>
        <item m="1" x="76"/>
        <item m="1" x="77"/>
        <item m="1" x="45"/>
        <item m="1" x="34"/>
        <item m="1" x="94"/>
        <item m="1" x="102"/>
        <item m="1" x="32"/>
        <item m="1" x="100"/>
        <item m="1" x="63"/>
        <item x="0"/>
        <item m="1" x="89"/>
        <item x="10"/>
        <item m="1" x="81"/>
        <item x="3"/>
        <item m="1" x="44"/>
        <item m="1" x="50"/>
        <item m="1" x="33"/>
        <item m="1" x="98"/>
        <item m="1" x="91"/>
        <item m="1" x="96"/>
        <item m="1" x="51"/>
        <item m="1" x="52"/>
        <item m="1" x="93"/>
        <item m="1" x="39"/>
        <item m="1" x="80"/>
        <item m="1" x="36"/>
        <item m="1" x="57"/>
        <item m="1" x="43"/>
        <item m="1" x="54"/>
        <item x="1"/>
        <item m="1" x="28"/>
        <item m="1" x="29"/>
        <item x="2"/>
        <item m="1" x="65"/>
        <item x="22"/>
        <item m="1" x="55"/>
        <item m="1" x="84"/>
        <item m="1" x="73"/>
        <item m="1" x="56"/>
        <item m="1" x="40"/>
        <item m="1" x="58"/>
        <item m="1" x="87"/>
        <item m="1" x="72"/>
        <item m="1" x="62"/>
        <item m="1" x="59"/>
        <item m="1" x="78"/>
        <item m="1" x="103"/>
        <item m="1" x="25"/>
        <item m="1" x="83"/>
        <item m="1" x="66"/>
        <item m="1" x="38"/>
        <item m="1" x="88"/>
        <item m="1" x="46"/>
        <item m="1" x="69"/>
        <item m="1" x="68"/>
        <item m="1" x="71"/>
        <item m="1" x="70"/>
        <item x="23"/>
        <item x="12"/>
        <item x="13"/>
        <item x="14"/>
        <item m="1" x="24"/>
        <item x="20"/>
        <item x="15"/>
        <item x="16"/>
        <item x="17"/>
        <item x="18"/>
        <item x="19"/>
        <item x="2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axis="axisCol" showAll="0">
      <items count="15">
        <item m="1" x="6"/>
        <item m="1" x="7"/>
        <item x="0"/>
        <item x="1"/>
        <item x="2"/>
        <item x="3"/>
        <item x="4"/>
        <item m="1" x="8"/>
        <item m="1" x="9"/>
        <item m="1" x="10"/>
        <item m="1" x="11"/>
        <item m="1" x="12"/>
        <item m="1" x="13"/>
        <item h="1" m="1" x="5"/>
        <item t="default"/>
      </items>
    </pivotField>
    <pivotField showAll="0"/>
    <pivotField numFmtId="166" showAll="0"/>
    <pivotField showAll="0"/>
    <pivotField showAll="0"/>
    <pivotField showAll="0"/>
    <pivotField showAll="0"/>
    <pivotField numFmtId="2" showAll="0"/>
    <pivotField showAll="0"/>
    <pivotField showAll="0"/>
  </pivotFields>
  <rowFields count="1">
    <field x="1"/>
  </rowFields>
  <rowItems count="25">
    <i>
      <x v="97"/>
    </i>
    <i>
      <x v="48"/>
    </i>
    <i>
      <x v="92"/>
    </i>
    <i>
      <x v="64"/>
    </i>
    <i>
      <x v="93"/>
    </i>
    <i>
      <x v="44"/>
    </i>
    <i>
      <x v="32"/>
    </i>
    <i>
      <x v="29"/>
    </i>
    <i>
      <x/>
    </i>
    <i>
      <x v="34"/>
    </i>
    <i>
      <x v="33"/>
    </i>
    <i>
      <x v="102"/>
    </i>
    <i>
      <x v="67"/>
    </i>
    <i>
      <x v="69"/>
    </i>
    <i>
      <x v="28"/>
    </i>
    <i>
      <x v="31"/>
    </i>
    <i>
      <x v="103"/>
    </i>
    <i>
      <x v="100"/>
    </i>
    <i>
      <x v="98"/>
    </i>
    <i>
      <x v="101"/>
    </i>
    <i>
      <x v="99"/>
    </i>
    <i>
      <x v="95"/>
    </i>
    <i>
      <x v="94"/>
    </i>
    <i>
      <x v="46"/>
    </i>
    <i t="grand">
      <x/>
    </i>
  </rowItems>
  <colFields count="1">
    <field x="9"/>
  </colFields>
  <colItems count="6">
    <i>
      <x v="2"/>
    </i>
    <i>
      <x v="3"/>
    </i>
    <i>
      <x v="4"/>
    </i>
    <i>
      <x v="5"/>
    </i>
    <i>
      <x v="6"/>
    </i>
    <i t="grand">
      <x/>
    </i>
  </colItems>
  <dataFields count="1">
    <dataField name="Suma de AREA" fld="3" baseField="1" baseItem="31"/>
  </dataFields>
  <formats count="5">
    <format dxfId="35">
      <pivotArea outline="0" collapsedLevelsAreSubtotals="1" fieldPosition="0"/>
    </format>
    <format dxfId="34">
      <pivotArea dataOnly="0" labelOnly="1" fieldPosition="0">
        <references count="1">
          <reference field="9" count="0"/>
        </references>
      </pivotArea>
    </format>
    <format dxfId="33">
      <pivotArea dataOnly="0" labelOnly="1" grandCol="1" outline="0" fieldPosition="0"/>
    </format>
    <format dxfId="32">
      <pivotArea collapsedLevelsAreSubtotals="1" fieldPosition="0">
        <references count="2">
          <reference field="1" count="1">
            <x v="96"/>
          </reference>
          <reference field="9" count="1" selected="0">
            <x v="5"/>
          </reference>
        </references>
      </pivotArea>
    </format>
    <format dxfId="31">
      <pivotArea collapsedLevelsAreSubtotals="1" fieldPosition="0">
        <references count="2">
          <reference field="1" count="1">
            <x v="97"/>
          </reference>
          <reference field="9" count="1" selected="0">
            <x v="5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927316-4D03-482F-9280-102C54A71AF4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3:I28" firstHeaderRow="1" firstDataRow="2" firstDataCol="1"/>
  <pivotFields count="19">
    <pivotField showAll="0"/>
    <pivotField axis="axisRow" showAll="0" sortType="descending">
      <items count="105">
        <item x="9"/>
        <item m="1" x="27"/>
        <item m="1" x="85"/>
        <item m="1" x="30"/>
        <item m="1" x="64"/>
        <item m="1" x="60"/>
        <item m="1" x="82"/>
        <item m="1" x="35"/>
        <item m="1" x="67"/>
        <item m="1" x="47"/>
        <item m="1" x="99"/>
        <item m="1" x="92"/>
        <item m="1" x="42"/>
        <item m="1" x="61"/>
        <item m="1" x="37"/>
        <item m="1" x="86"/>
        <item m="1" x="101"/>
        <item m="1" x="49"/>
        <item m="1" x="75"/>
        <item m="1" x="48"/>
        <item m="1" x="31"/>
        <item m="1" x="90"/>
        <item m="1" x="41"/>
        <item m="1" x="74"/>
        <item m="1" x="53"/>
        <item m="1" x="95"/>
        <item m="1" x="97"/>
        <item m="1" x="26"/>
        <item x="5"/>
        <item x="6"/>
        <item m="1" x="79"/>
        <item x="4"/>
        <item x="11"/>
        <item x="7"/>
        <item x="8"/>
        <item m="1" x="76"/>
        <item m="1" x="77"/>
        <item m="1" x="45"/>
        <item m="1" x="34"/>
        <item m="1" x="94"/>
        <item m="1" x="102"/>
        <item m="1" x="32"/>
        <item m="1" x="100"/>
        <item m="1" x="63"/>
        <item x="0"/>
        <item m="1" x="89"/>
        <item x="10"/>
        <item m="1" x="81"/>
        <item x="3"/>
        <item m="1" x="44"/>
        <item m="1" x="50"/>
        <item m="1" x="33"/>
        <item m="1" x="98"/>
        <item m="1" x="91"/>
        <item m="1" x="96"/>
        <item m="1" x="51"/>
        <item m="1" x="52"/>
        <item m="1" x="93"/>
        <item m="1" x="39"/>
        <item m="1" x="80"/>
        <item m="1" x="36"/>
        <item m="1" x="57"/>
        <item m="1" x="43"/>
        <item m="1" x="54"/>
        <item x="1"/>
        <item m="1" x="28"/>
        <item m="1" x="29"/>
        <item x="2"/>
        <item m="1" x="65"/>
        <item x="22"/>
        <item m="1" x="55"/>
        <item m="1" x="84"/>
        <item m="1" x="73"/>
        <item m="1" x="56"/>
        <item m="1" x="40"/>
        <item m="1" x="58"/>
        <item m="1" x="87"/>
        <item m="1" x="72"/>
        <item m="1" x="62"/>
        <item m="1" x="59"/>
        <item m="1" x="78"/>
        <item m="1" x="103"/>
        <item m="1" x="25"/>
        <item m="1" x="83"/>
        <item m="1" x="66"/>
        <item m="1" x="38"/>
        <item m="1" x="88"/>
        <item m="1" x="46"/>
        <item m="1" x="69"/>
        <item m="1" x="68"/>
        <item m="1" x="71"/>
        <item m="1" x="70"/>
        <item h="1" x="23"/>
        <item x="12"/>
        <item x="13"/>
        <item x="14"/>
        <item m="1" x="24"/>
        <item x="20"/>
        <item x="15"/>
        <item x="16"/>
        <item x="17"/>
        <item x="18"/>
        <item x="19"/>
        <item x="2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15">
        <item m="1" x="6"/>
        <item m="1" x="7"/>
        <item x="0"/>
        <item x="1"/>
        <item x="2"/>
        <item x="3"/>
        <item x="4"/>
        <item m="1" x="8"/>
        <item m="1" x="9"/>
        <item m="1" x="10"/>
        <item m="1" x="11"/>
        <item m="1" x="12"/>
        <item m="1" x="13"/>
        <item h="1" m="1" x="5"/>
        <item t="default"/>
      </items>
    </pivotField>
    <pivotField showAll="0"/>
    <pivotField dataField="1" numFmtId="166" showAll="0"/>
    <pivotField showAll="0"/>
    <pivotField showAll="0"/>
    <pivotField showAll="0"/>
    <pivotField showAll="0"/>
    <pivotField numFmtId="2" showAll="0"/>
    <pivotField showAll="0"/>
    <pivotField showAll="0"/>
  </pivotFields>
  <rowFields count="1">
    <field x="1"/>
  </rowFields>
  <rowItems count="24">
    <i>
      <x v="97"/>
    </i>
    <i>
      <x v="48"/>
    </i>
    <i>
      <x v="32"/>
    </i>
    <i>
      <x v="93"/>
    </i>
    <i>
      <x v="64"/>
    </i>
    <i>
      <x v="44"/>
    </i>
    <i>
      <x/>
    </i>
    <i>
      <x v="102"/>
    </i>
    <i>
      <x v="29"/>
    </i>
    <i>
      <x v="67"/>
    </i>
    <i>
      <x v="69"/>
    </i>
    <i>
      <x v="34"/>
    </i>
    <i>
      <x v="33"/>
    </i>
    <i>
      <x v="103"/>
    </i>
    <i>
      <x v="100"/>
    </i>
    <i>
      <x v="101"/>
    </i>
    <i>
      <x v="28"/>
    </i>
    <i>
      <x v="98"/>
    </i>
    <i>
      <x v="31"/>
    </i>
    <i>
      <x v="95"/>
    </i>
    <i>
      <x v="99"/>
    </i>
    <i>
      <x v="94"/>
    </i>
    <i>
      <x v="46"/>
    </i>
    <i t="grand">
      <x/>
    </i>
  </rowItems>
  <colFields count="1">
    <field x="9"/>
  </colFields>
  <colItems count="6">
    <i>
      <x v="2"/>
    </i>
    <i>
      <x v="3"/>
    </i>
    <i>
      <x v="4"/>
    </i>
    <i>
      <x v="5"/>
    </i>
    <i>
      <x v="6"/>
    </i>
    <i t="grand">
      <x/>
    </i>
  </colItems>
  <dataFields count="1">
    <dataField name="Suma de TOTAL FACTURA" fld="11" baseField="1" baseItem="0" numFmtId="168"/>
  </dataFields>
  <formats count="6">
    <format dxfId="41">
      <pivotArea outline="0" collapsedLevelsAreSubtotals="1" fieldPosition="0"/>
    </format>
    <format dxfId="40">
      <pivotArea dataOnly="0" labelOnly="1" fieldPosition="0">
        <references count="1">
          <reference field="9" count="0"/>
        </references>
      </pivotArea>
    </format>
    <format dxfId="39">
      <pivotArea dataOnly="0" labelOnly="1" grandCol="1" outline="0" fieldPosition="0"/>
    </format>
    <format dxfId="38">
      <pivotArea outline="0" fieldPosition="0">
        <references count="1">
          <reference field="4294967294" count="1">
            <x v="0"/>
          </reference>
        </references>
      </pivotArea>
    </format>
    <format dxfId="37">
      <pivotArea collapsedLevelsAreSubtotals="1" fieldPosition="0">
        <references count="2">
          <reference field="1" count="1">
            <x v="96"/>
          </reference>
          <reference field="9" count="1" selected="0">
            <x v="5"/>
          </reference>
        </references>
      </pivotArea>
    </format>
    <format dxfId="36">
      <pivotArea collapsedLevelsAreSubtotals="1" fieldPosition="0">
        <references count="2">
          <reference field="1" count="1">
            <x v="97"/>
          </reference>
          <reference field="9" count="1" selected="0">
            <x v="5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FLUJO REAL" cacheId="0" applyNumberFormats="0" applyBorderFormats="0" applyFontFormats="0" applyPatternFormats="0" applyAlignmentFormats="0" applyWidthHeightFormats="0" dataCaption="" updatedVersion="8" compact="0" compactData="0">
  <location ref="AF1:AK13" firstHeaderRow="1" firstDataRow="2" firstDataCol="1"/>
  <pivotFields count="10">
    <pivotField name="Descripción" compact="0" numFmtId="166" outline="0" multipleItemSelectionAllowed="1" showAll="0"/>
    <pivotField name="Diciembre" compact="0" numFmtId="164" outline="0" multipleItemSelectionAllowed="1" showAll="0"/>
    <pivotField name="Enero" compact="0" outline="0" multipleItemSelectionAllowed="1" showAll="0"/>
    <pivotField name="diciembre2" compact="0" numFmtId="166" outline="0" multipleItemSelectionAllowed="1" showAll="0"/>
    <pivotField name="enero2" compact="0" outline="0" multipleItemSelectionAllowed="1" showAll="0"/>
    <pivotField name="Febrero" compact="0" outline="0" multipleItemSelectionAllowed="1" showAll="0"/>
    <pivotField name="V/U" compact="0" numFmtId="166" outline="0" multipleItemSelectionAllowed="1" showAll="0"/>
    <pivotField name="Responsable" axis="axisCol" compact="0" numFmtId="166" outline="0" multipleItemSelectionAllowed="1" showAll="0" sortType="ascending">
      <items count="5">
        <item x="3"/>
        <item x="0"/>
        <item x="1"/>
        <item x="2"/>
        <item t="default"/>
      </items>
    </pivotField>
    <pivotField name="Total" dataField="1" compact="0" numFmtId="166" outline="0" multipleItemSelectionAllowed="1" showAll="0"/>
    <pivotField name="Observaciones" axis="axisRow" compact="0" numFmtId="166" outline="0" multipleItemSelectionAllowed="1" showAll="0" sortType="ascending">
      <items count="11">
        <item x="3"/>
        <item x="6"/>
        <item x="4"/>
        <item x="8"/>
        <item x="1"/>
        <item x="2"/>
        <item x="0"/>
        <item x="5"/>
        <item x="9"/>
        <item x="7"/>
        <item t="default"/>
      </items>
    </pivotField>
  </pivotFields>
  <rowFields count="1">
    <field x="9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dataFields count="1">
    <dataField name="Suma de Total" fld="8" baseField="9" baseItem="5" numFmtId="167"/>
  </dataFields>
  <pivotTableStyleInfo name="PivotStyleMedium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TablaDiná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1">
  <location ref="A41:B42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6">
        <item h="1" m="1" x="6"/>
        <item m="1" x="3"/>
        <item m="1" x="14"/>
        <item h="1" m="1" x="10"/>
        <item m="1" x="2"/>
        <item h="1" m="1" x="9"/>
        <item m="1" x="5"/>
        <item m="1" x="12"/>
        <item m="1" x="13"/>
        <item m="1" x="4"/>
        <item h="1" m="1" x="7"/>
        <item h="1" m="1" x="8"/>
        <item m="1" x="11"/>
        <item h="1" m="1" x="1"/>
        <item h="1"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1">
    <i t="grand">
      <x/>
    </i>
  </rowItems>
  <colItems count="1">
    <i/>
  </colItems>
  <dataFields count="1">
    <dataField name="Suma de TOTAL FACTURA" fld="11" baseField="7" baseItem="5" numFmtId="165"/>
  </dataFields>
  <formats count="3">
    <format>
      <pivotArea grandRow="1" outline="0" collapsedLevelsAreSubtotals="1" fieldPosition="0"/>
    </format>
    <format>
      <pivotArea grandCol="1" outline="0" collapsedLevelsAreSubtotals="1" fieldPosition="0"/>
    </format>
    <format dxfId="6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1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A30:B32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3">
        <item x="0"/>
        <item m="1" x="11"/>
        <item m="1" x="3"/>
        <item m="1" x="7"/>
        <item m="1" x="4"/>
        <item m="1" x="8"/>
        <item h="1" m="1" x="1"/>
        <item m="1" x="5"/>
        <item h="1" m="1" x="9"/>
        <item h="1" m="1" x="10"/>
        <item h="1" m="1" x="2"/>
        <item h="1" m="1"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</pivotFields>
  <rowFields count="1">
    <field x="13"/>
  </rowFields>
  <rowItems count="2">
    <i>
      <x/>
    </i>
    <i t="grand">
      <x/>
    </i>
  </rowItems>
  <colItems count="1">
    <i/>
  </colItems>
  <dataFields count="1">
    <dataField name="Promedio de Ha's/Hora" fld="17" subtotal="average" baseField="13" baseItem="0" numFmtId="2"/>
  </dataFields>
  <formats count="3">
    <format>
      <pivotArea collapsedLevelsAreSubtotals="1" fieldPosition="0">
        <references count="1">
          <reference field="13" count="0"/>
        </references>
      </pivotArea>
    </format>
    <format>
      <pivotArea grandRow="1" outline="0" collapsedLevelsAreSubtotals="1" fieldPosition="0"/>
    </format>
    <format dxfId="7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5">
  <location ref="A6:C13" firstHeaderRow="1" firstDataRow="2" firstDataCol="1"/>
  <pivotFields count="19">
    <pivotField showAll="0"/>
    <pivotField showAll="0"/>
    <pivotField showAll="0"/>
    <pivotField dataField="1" showAll="0"/>
    <pivotField showAll="0"/>
    <pivotField numFmtId="164" showAll="0"/>
    <pivotField showAll="0"/>
    <pivotField showAll="0"/>
    <pivotField showAll="0"/>
    <pivotField axis="axisRow" showAll="0">
      <items count="15">
        <item m="1" x="6"/>
        <item m="1" x="7"/>
        <item x="0"/>
        <item x="1"/>
        <item x="2"/>
        <item x="3"/>
        <item h="1" m="1" x="5"/>
        <item x="4"/>
        <item m="1" x="8"/>
        <item m="1" x="9"/>
        <item m="1" x="10"/>
        <item h="1" m="1" x="13"/>
        <item h="1" m="1" x="11"/>
        <item h="1" m="1" x="12"/>
        <item t="default"/>
      </items>
    </pivotField>
    <pivotField numFmtId="165" showAll="0"/>
    <pivotField dataField="1" numFmtId="165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6">
    <i>
      <x v="2"/>
    </i>
    <i>
      <x v="3"/>
    </i>
    <i>
      <x v="4"/>
    </i>
    <i>
      <x v="5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AREA" fld="3" baseField="0" baseItem="0" numFmtId="3"/>
    <dataField name="Suma de TOTAL FACTURA" fld="11" baseField="0" baseItem="0" numFmtId="165"/>
  </dataFields>
  <formats count="6">
    <format>
      <pivotArea grandRow="1" outline="0" collapsedLevelsAreSubtotals="1" fieldPosition="0"/>
    </format>
    <format>
      <pivotArea dataOnly="0" labelOnly="1" fieldPosition="0">
        <references count="1">
          <reference field="9" count="0"/>
        </references>
      </pivotArea>
    </format>
    <format>
      <pivotArea outline="0" collapsedLevelsAreSubtotals="1" fieldPosition="0"/>
    </format>
    <format>
      <pivotArea dataOnly="0" labelOnly="1" outline="0" axis="axisValues" fieldPosition="0"/>
    </format>
    <format dxfId="8">
      <pivotArea outline="0" fieldPosition="0">
        <references count="1">
          <reference field="4294967294" count="1">
            <x v="0"/>
          </reference>
        </references>
      </pivotArea>
    </format>
    <format>
      <pivotArea dataOnly="0" outline="0" fieldPosition="0">
        <references count="1">
          <reference field="4294967294" count="1">
            <x v="0"/>
          </reference>
        </references>
      </pivotArea>
    </format>
  </formats>
  <chartFormats count="2"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EE74CE-B157-4585-9FEE-395F960D6F1E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3:F6" firstHeaderRow="0" firstDataRow="1" firstDataCol="1" rowPageCount="1" colPageCount="1"/>
  <pivotFields count="19">
    <pivotField showAll="0"/>
    <pivotField axis="axisPage" multipleItemSelectionAllowed="1" showAll="0">
      <items count="105">
        <item h="1" x="9"/>
        <item h="1" m="1" x="27"/>
        <item h="1" m="1" x="85"/>
        <item h="1" m="1" x="30"/>
        <item h="1" m="1" x="64"/>
        <item h="1" m="1" x="60"/>
        <item h="1" m="1" x="82"/>
        <item h="1" m="1" x="35"/>
        <item h="1" m="1" x="67"/>
        <item h="1" m="1" x="47"/>
        <item h="1" m="1" x="99"/>
        <item h="1" m="1" x="92"/>
        <item h="1" m="1" x="42"/>
        <item h="1" m="1" x="61"/>
        <item h="1" m="1" x="37"/>
        <item h="1" m="1" x="86"/>
        <item h="1" m="1" x="101"/>
        <item h="1" m="1" x="49"/>
        <item h="1" m="1" x="75"/>
        <item h="1" m="1" x="48"/>
        <item h="1" m="1" x="31"/>
        <item h="1" m="1" x="90"/>
        <item h="1" m="1" x="41"/>
        <item h="1" m="1" x="74"/>
        <item h="1" m="1" x="53"/>
        <item h="1" m="1" x="95"/>
        <item h="1" m="1" x="97"/>
        <item h="1" m="1" x="26"/>
        <item h="1" x="5"/>
        <item h="1" x="6"/>
        <item h="1" m="1" x="79"/>
        <item h="1" x="4"/>
        <item x="11"/>
        <item h="1" x="7"/>
        <item h="1" x="8"/>
        <item h="1" m="1" x="76"/>
        <item h="1" m="1" x="77"/>
        <item h="1" m="1" x="45"/>
        <item h="1" m="1" x="34"/>
        <item h="1" m="1" x="94"/>
        <item h="1" m="1" x="102"/>
        <item h="1" m="1" x="32"/>
        <item h="1" m="1" x="100"/>
        <item h="1" m="1" x="63"/>
        <item h="1" x="0"/>
        <item h="1" m="1" x="89"/>
        <item h="1" x="10"/>
        <item h="1" m="1" x="81"/>
        <item h="1" x="3"/>
        <item h="1" m="1" x="44"/>
        <item h="1" m="1" x="50"/>
        <item h="1" m="1" x="33"/>
        <item h="1" m="1" x="98"/>
        <item h="1" m="1" x="91"/>
        <item h="1" m="1" x="96"/>
        <item h="1" m="1" x="51"/>
        <item h="1" m="1" x="52"/>
        <item h="1" m="1" x="93"/>
        <item h="1" m="1" x="39"/>
        <item h="1" m="1" x="80"/>
        <item h="1" m="1" x="36"/>
        <item h="1" m="1" x="57"/>
        <item h="1" m="1" x="43"/>
        <item h="1" m="1" x="54"/>
        <item h="1" x="1"/>
        <item h="1" m="1" x="28"/>
        <item h="1" m="1" x="29"/>
        <item h="1" x="2"/>
        <item h="1" m="1" x="65"/>
        <item h="1" x="22"/>
        <item h="1" m="1" x="55"/>
        <item h="1" m="1" x="84"/>
        <item h="1" m="1" x="73"/>
        <item h="1" m="1" x="56"/>
        <item h="1" m="1" x="40"/>
        <item h="1" m="1" x="58"/>
        <item h="1" m="1" x="87"/>
        <item h="1" m="1" x="72"/>
        <item h="1" m="1" x="62"/>
        <item h="1" m="1" x="59"/>
        <item h="1" m="1" x="78"/>
        <item h="1" m="1" x="103"/>
        <item h="1" m="1" x="25"/>
        <item h="1" m="1" x="83"/>
        <item h="1" m="1" x="66"/>
        <item h="1" m="1" x="38"/>
        <item h="1" m="1" x="88"/>
        <item h="1" m="1" x="46"/>
        <item h="1" m="1" x="69"/>
        <item h="1" m="1" x="68"/>
        <item h="1" m="1" x="71"/>
        <item h="1" m="1" x="70"/>
        <item h="1" x="23"/>
        <item h="1" x="12"/>
        <item h="1" x="13"/>
        <item h="1" x="14"/>
        <item h="1" m="1" x="24"/>
        <item h="1" x="20"/>
        <item h="1" x="15"/>
        <item h="1" x="16"/>
        <item h="1" x="17"/>
        <item h="1" x="18"/>
        <item h="1" x="19"/>
        <item h="1" x="2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3"/>
        <item x="0"/>
        <item x="1"/>
        <item x="2"/>
        <item x="4"/>
        <item x="5"/>
        <item x="6"/>
        <item x="7"/>
        <item t="default"/>
      </items>
    </pivotField>
    <pivotField dataField="1" numFmtId="166" showAll="0"/>
    <pivotField showAll="0"/>
    <pivotField showAll="0"/>
    <pivotField showAll="0"/>
    <pivotField showAll="0"/>
    <pivotField numFmtId="2" showAll="0"/>
    <pivotField showAll="0"/>
    <pivotField showAll="0"/>
  </pivotFields>
  <rowFields count="1">
    <field x="10"/>
  </rowFields>
  <rowItems count="3"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a de AREA" fld="3" baseField="10" baseItem="3" numFmtId="4"/>
    <dataField name="Suma de TOTAL FACTURA" fld="11" baseField="1" baseItem="0" numFmtId="168"/>
  </dataFields>
  <formats count="4">
    <format dxfId="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">
      <pivotArea collapsedLevelsAreSubtotals="1" fieldPosition="0">
        <references count="2">
          <reference field="4294967294" count="1" selected="0">
            <x v="0"/>
          </reference>
          <reference field="10" count="2">
            <x v="3"/>
            <x v="4"/>
          </reference>
        </references>
      </pivotArea>
    </format>
    <format dxfId="1">
      <pivotArea field="1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Programacion_2026" displayName="Programacion_2026" ref="A1:S75">
  <tableColumns count="19">
    <tableColumn id="1" xr3:uid="{00000000-0010-0000-0000-000001000000}" name="ITEM"/>
    <tableColumn id="2" xr3:uid="{00000000-0010-0000-0000-000002000000}" name="FINCA"/>
    <tableColumn id="3" xr3:uid="{00000000-0010-0000-0000-000003000000}" name="POTRERO" dataDxfId="51"/>
    <tableColumn id="4" xr3:uid="{00000000-0010-0000-0000-000004000000}" name="AREA" dataDxfId="50"/>
    <tableColumn id="5" xr3:uid="{00000000-0010-0000-0000-000005000000}" name="FECHAPROGRAMACIÓN"/>
    <tableColumn id="6" xr3:uid="{00000000-0010-0000-0000-000006000000}" name="FECHA  EJECUCIÓN" dataDxfId="49"/>
    <tableColumn id="14" xr3:uid="{00000000-0010-0000-0000-00000E000000}" name="Dia" dataDxfId="48"/>
    <tableColumn id="8" xr3:uid="{00000000-0010-0000-0000-000008000000}" name="OBSERVACIONES"/>
    <tableColumn id="9" xr3:uid="{00000000-0010-0000-0000-000009000000}" name="CORTE FACTURACIÓN"/>
    <tableColumn id="7" xr3:uid="{00000000-0010-0000-0000-000007000000}" name="MES"/>
    <tableColumn id="11" xr3:uid="{00000000-0010-0000-0000-00000B000000}" name="PRECIO"/>
    <tableColumn id="13" xr3:uid="{00000000-0010-0000-0000-00000D000000}" name="TOTAL FACTURA" dataDxfId="47">
      <calculatedColumnFormula>+D2*K2</calculatedColumnFormula>
    </tableColumn>
    <tableColumn id="12" xr3:uid="{00000000-0010-0000-0000-00000C000000}" name="CLIENTE"/>
    <tableColumn id="15" xr3:uid="{00000000-0010-0000-0000-00000F000000}" name="PILOTO"/>
    <tableColumn id="16" xr3:uid="{00000000-0010-0000-0000-000010000000}" name="Hora inicio" dataDxfId="46"/>
    <tableColumn id="17" xr3:uid="{00000000-0010-0000-0000-000011000000}" name="Hora Fin" dataDxfId="45"/>
    <tableColumn id="18" xr3:uid="{00000000-0010-0000-0000-000012000000}" name="Tiempo operación" dataDxfId="44">
      <calculatedColumnFormula>(P2-O2)*24</calculatedColumnFormula>
    </tableColumn>
    <tableColumn id="19" xr3:uid="{00000000-0010-0000-0000-000013000000}" name="Ha's/Hora" dataDxfId="43"/>
    <tableColumn id="10" xr3:uid="{00000000-0010-0000-0000-00000A000000}" name="FACTURA" dataDxfId="42"/>
  </tableColumns>
  <tableStyleInfo name="PROGRAMACIÓN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3" displayName="Tabla3" ref="A5:O80" headerRowDxfId="27" dataDxfId="25" headerRowBorderDxfId="26" tableBorderDxfId="24">
  <autoFilter ref="A5:O80" xr:uid="{00000000-0009-0000-0100-000001000000}"/>
  <tableColumns count="15">
    <tableColumn id="1" xr3:uid="{00000000-0010-0000-0100-000001000000}" name="Columna1" dataDxfId="23"/>
    <tableColumn id="2" xr3:uid="{00000000-0010-0000-0100-000002000000}" name="MES" dataDxfId="22"/>
    <tableColumn id="3" xr3:uid="{00000000-0010-0000-0100-000003000000}" name="DICIEMBRE" dataDxfId="21"/>
    <tableColumn id="4" xr3:uid="{00000000-0010-0000-0100-000004000000}" name="ENERO" dataDxfId="20"/>
    <tableColumn id="5" xr3:uid="{00000000-0010-0000-0100-000005000000}" name="FEBRERO" dataDxfId="19"/>
    <tableColumn id="6" xr3:uid="{00000000-0010-0000-0100-000006000000}" name="MARZO" dataDxfId="18"/>
    <tableColumn id="7" xr3:uid="{00000000-0010-0000-0100-000007000000}" name="ABRIL" dataDxfId="17"/>
    <tableColumn id="8" xr3:uid="{00000000-0010-0000-0100-000008000000}" name="MAYO" dataDxfId="16"/>
    <tableColumn id="9" xr3:uid="{00000000-0010-0000-0100-000009000000}" name="JUNIO" dataDxfId="15"/>
    <tableColumn id="10" xr3:uid="{00000000-0010-0000-0100-00000A000000}" name="JULIO" dataDxfId="14"/>
    <tableColumn id="11" xr3:uid="{00000000-0010-0000-0100-00000B000000}" name="AGOSTO" dataDxfId="13"/>
    <tableColumn id="12" xr3:uid="{00000000-0010-0000-0100-00000C000000}" name="SEPTIEMBRE" dataDxfId="12"/>
    <tableColumn id="13" xr3:uid="{00000000-0010-0000-0100-00000D000000}" name="OCTUBRE" dataDxfId="11"/>
    <tableColumn id="14" xr3:uid="{00000000-0010-0000-0100-00000E000000}" name="NOVIEMBRE" dataDxfId="10"/>
    <tableColumn id="16" xr3:uid="{00000000-0010-0000-0100-000010000000}" name="DICIEMBRE2" dataDxfId="9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a2" displayName="Tabla2" ref="B1:G16" headerRowDxfId="5">
  <tableColumns count="6">
    <tableColumn id="1" xr3:uid="{00000000-0010-0000-0200-000001000000}" name="FINCA"/>
    <tableColumn id="2" xr3:uid="{00000000-0010-0000-0200-000002000000}" name="CLIENTE"/>
    <tableColumn id="3" xr3:uid="{00000000-0010-0000-0200-000003000000}" name="PRECIO" dataDxfId="4"/>
    <tableColumn id="4" xr3:uid="{00000000-0010-0000-0200-000004000000}" name="TELEFONO"/>
    <tableColumn id="5" xr3:uid="{00000000-0010-0000-0200-000005000000}" name="CONTACTO"/>
    <tableColumn id="6" xr3:uid="{00000000-0010-0000-0200-000006000000}" name="UBICACIÓN"/>
  </tableColumns>
  <tableStyleInfo name="PROGRAMACIÓN-style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ivotTable" Target="../pivotTables/pivotTable3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5"/>
  <sheetViews>
    <sheetView tabSelected="1" topLeftCell="A56" zoomScale="92" workbookViewId="0">
      <selection activeCell="G62" sqref="G62"/>
    </sheetView>
  </sheetViews>
  <sheetFormatPr baseColWidth="10" defaultColWidth="14.453125" defaultRowHeight="15" customHeight="1" x14ac:dyDescent="0.35"/>
  <cols>
    <col min="1" max="1" width="11.453125" style="1" customWidth="1"/>
    <col min="2" max="2" width="18.7265625" style="1" bestFit="1" customWidth="1"/>
    <col min="3" max="3" width="17.26953125" style="115" bestFit="1" customWidth="1"/>
    <col min="4" max="4" width="5.81640625" style="2" bestFit="1" customWidth="1"/>
    <col min="5" max="5" width="23.26953125" style="1" customWidth="1"/>
    <col min="6" max="6" width="18.7265625" style="1" customWidth="1"/>
    <col min="7" max="7" width="10.453125" style="1" bestFit="1" customWidth="1"/>
    <col min="8" max="8" width="15.26953125" style="1" customWidth="1"/>
    <col min="9" max="9" width="19.1796875" style="1" customWidth="1"/>
    <col min="10" max="10" width="11.1796875" style="1" bestFit="1" customWidth="1"/>
    <col min="11" max="11" width="12.54296875" style="3" bestFit="1" customWidth="1"/>
    <col min="12" max="12" width="19.1796875" style="2" bestFit="1" customWidth="1"/>
    <col min="13" max="13" width="33.81640625" style="2" bestFit="1" customWidth="1"/>
    <col min="14" max="14" width="19" style="1" bestFit="1" customWidth="1"/>
    <col min="15" max="15" width="14.26953125" style="4" bestFit="1" customWidth="1"/>
    <col min="16" max="16" width="12.1796875" style="1" bestFit="1" customWidth="1"/>
    <col min="17" max="17" width="20.453125" style="2" bestFit="1" customWidth="1"/>
    <col min="18" max="18" width="13.81640625" style="1" bestFit="1" customWidth="1"/>
    <col min="19" max="19" width="13.453125" style="5" bestFit="1" customWidth="1"/>
    <col min="20" max="20" width="9.81640625" customWidth="1"/>
    <col min="21" max="21" width="13.1796875" customWidth="1"/>
    <col min="22" max="23" width="14"/>
    <col min="24" max="34" width="10.81640625" style="1" customWidth="1"/>
    <col min="35" max="16384" width="14.453125" style="1"/>
  </cols>
  <sheetData>
    <row r="1" spans="1:23" ht="14.25" customHeight="1" x14ac:dyDescent="0.35">
      <c r="A1" s="6" t="s">
        <v>0</v>
      </c>
      <c r="B1" s="7" t="s">
        <v>1</v>
      </c>
      <c r="C1" s="114" t="s">
        <v>2</v>
      </c>
      <c r="D1" s="9" t="s">
        <v>3</v>
      </c>
      <c r="E1" s="10" t="s">
        <v>4</v>
      </c>
      <c r="F1" s="10" t="s">
        <v>5</v>
      </c>
      <c r="G1" s="10" t="s">
        <v>193</v>
      </c>
      <c r="H1" s="8" t="s">
        <v>7</v>
      </c>
      <c r="I1" s="11" t="s">
        <v>8</v>
      </c>
      <c r="J1" s="8" t="s">
        <v>6</v>
      </c>
      <c r="K1" s="12" t="s">
        <v>143</v>
      </c>
      <c r="L1" s="11" t="s">
        <v>144</v>
      </c>
      <c r="M1" s="12" t="s">
        <v>126</v>
      </c>
      <c r="N1" s="11" t="s">
        <v>194</v>
      </c>
      <c r="O1" s="13" t="s">
        <v>195</v>
      </c>
      <c r="P1" s="11" t="s">
        <v>196</v>
      </c>
      <c r="Q1" s="11" t="s">
        <v>197</v>
      </c>
      <c r="R1" s="11" t="s">
        <v>198</v>
      </c>
      <c r="S1" s="11" t="s">
        <v>172</v>
      </c>
      <c r="T1" s="1"/>
      <c r="U1" s="1"/>
      <c r="V1" s="1"/>
      <c r="W1" s="1"/>
    </row>
    <row r="2" spans="1:23" ht="15" customHeight="1" x14ac:dyDescent="0.35">
      <c r="A2" s="14">
        <v>1</v>
      </c>
      <c r="B2" s="112" t="s">
        <v>208</v>
      </c>
      <c r="C2" s="115" t="s">
        <v>209</v>
      </c>
      <c r="D2" s="113">
        <v>4.32</v>
      </c>
      <c r="E2" s="16">
        <v>46091</v>
      </c>
      <c r="F2" s="16">
        <v>46091</v>
      </c>
      <c r="G2" s="17" t="str">
        <f t="shared" ref="G2:G15" si="0">IF(F2="","",UPPER(TEXT(F2,"dddd")))</f>
        <v>MARTES</v>
      </c>
      <c r="H2" s="2" t="s">
        <v>205</v>
      </c>
      <c r="I2" s="5" t="s">
        <v>207</v>
      </c>
      <c r="J2" s="17" t="str">
        <f>UPPER(TEXT(F2,"MMMM"))</f>
        <v>MARZO</v>
      </c>
      <c r="K2" s="18">
        <v>120000</v>
      </c>
      <c r="L2" s="19">
        <f t="shared" ref="L2:L25" si="1">+D2*K2</f>
        <v>518400.00000000006</v>
      </c>
      <c r="M2" s="109" t="s">
        <v>213</v>
      </c>
      <c r="N2" s="2" t="s">
        <v>204</v>
      </c>
      <c r="O2" s="20">
        <v>0.44444444444444442</v>
      </c>
      <c r="P2" s="20">
        <v>0.64583333333333337</v>
      </c>
      <c r="Q2" s="21">
        <f t="shared" ref="Q2:Q25" si="2">(P2-O2)*24</f>
        <v>4.8333333333333348</v>
      </c>
      <c r="R2" s="21">
        <f>+IFERROR(D2/Q2,"")</f>
        <v>0.89379310344827567</v>
      </c>
      <c r="T2" s="1"/>
      <c r="U2" s="1"/>
      <c r="V2" s="1"/>
      <c r="W2" s="1"/>
    </row>
    <row r="3" spans="1:23" ht="15" customHeight="1" x14ac:dyDescent="0.35">
      <c r="A3" s="14">
        <v>2</v>
      </c>
      <c r="B3" s="112" t="s">
        <v>208</v>
      </c>
      <c r="C3" s="115" t="s">
        <v>210</v>
      </c>
      <c r="D3" s="113">
        <v>5.75</v>
      </c>
      <c r="E3" s="16">
        <v>46091</v>
      </c>
      <c r="F3" s="16">
        <v>46091</v>
      </c>
      <c r="G3" s="17" t="str">
        <f t="shared" si="0"/>
        <v>MARTES</v>
      </c>
      <c r="H3" s="2" t="s">
        <v>205</v>
      </c>
      <c r="I3" s="5" t="s">
        <v>207</v>
      </c>
      <c r="J3" s="17" t="str">
        <f t="shared" ref="J3:J25" si="3">UPPER(TEXT(F3,"MMMM"))</f>
        <v>MARZO</v>
      </c>
      <c r="K3" s="18">
        <v>120000</v>
      </c>
      <c r="L3" s="19">
        <f t="shared" si="1"/>
        <v>690000</v>
      </c>
      <c r="M3" s="109" t="s">
        <v>213</v>
      </c>
      <c r="N3" s="2" t="s">
        <v>204</v>
      </c>
      <c r="O3" s="20">
        <v>0.44444444444444442</v>
      </c>
      <c r="P3" s="20">
        <v>0.64583333333333337</v>
      </c>
      <c r="Q3" s="21">
        <f t="shared" si="2"/>
        <v>4.8333333333333348</v>
      </c>
      <c r="R3" s="21"/>
      <c r="T3" s="1"/>
      <c r="U3" s="1"/>
      <c r="V3" s="1"/>
      <c r="W3" s="1"/>
    </row>
    <row r="4" spans="1:23" ht="15" customHeight="1" x14ac:dyDescent="0.35">
      <c r="A4" s="14">
        <v>3</v>
      </c>
      <c r="B4" s="112" t="s">
        <v>208</v>
      </c>
      <c r="C4" s="115" t="s">
        <v>211</v>
      </c>
      <c r="D4" s="15">
        <v>2.4900000000000002</v>
      </c>
      <c r="E4" s="16">
        <v>46091</v>
      </c>
      <c r="F4" s="16">
        <v>46091</v>
      </c>
      <c r="G4" s="17" t="str">
        <f t="shared" si="0"/>
        <v>MARTES</v>
      </c>
      <c r="H4" s="2" t="s">
        <v>205</v>
      </c>
      <c r="I4" s="5" t="s">
        <v>207</v>
      </c>
      <c r="J4" s="17" t="str">
        <f t="shared" si="3"/>
        <v>MARZO</v>
      </c>
      <c r="K4" s="18">
        <v>140000</v>
      </c>
      <c r="L4" s="19">
        <f t="shared" si="1"/>
        <v>348600.00000000006</v>
      </c>
      <c r="M4" s="109" t="s">
        <v>213</v>
      </c>
      <c r="N4" s="2" t="s">
        <v>204</v>
      </c>
      <c r="O4" s="20">
        <v>0.44444444444444442</v>
      </c>
      <c r="P4" s="20">
        <v>0.64583333333333337</v>
      </c>
      <c r="Q4" s="21">
        <f t="shared" si="2"/>
        <v>4.8333333333333348</v>
      </c>
      <c r="R4" s="21"/>
      <c r="T4" s="1"/>
      <c r="U4" s="1"/>
      <c r="V4" s="1"/>
      <c r="W4" s="1"/>
    </row>
    <row r="5" spans="1:23" ht="15" customHeight="1" x14ac:dyDescent="0.35">
      <c r="A5" s="14">
        <v>4</v>
      </c>
      <c r="B5" s="112" t="s">
        <v>208</v>
      </c>
      <c r="C5" s="115" t="s">
        <v>212</v>
      </c>
      <c r="D5" s="15">
        <v>1.79</v>
      </c>
      <c r="E5" s="16">
        <v>46091</v>
      </c>
      <c r="F5" s="16">
        <v>46091</v>
      </c>
      <c r="G5" s="17" t="str">
        <f t="shared" si="0"/>
        <v>MARTES</v>
      </c>
      <c r="H5" s="2" t="s">
        <v>205</v>
      </c>
      <c r="I5" s="5" t="s">
        <v>207</v>
      </c>
      <c r="J5" s="17" t="str">
        <f t="shared" si="3"/>
        <v>MARZO</v>
      </c>
      <c r="K5" s="18">
        <v>140000</v>
      </c>
      <c r="L5" s="19">
        <f t="shared" si="1"/>
        <v>250600</v>
      </c>
      <c r="M5" s="109" t="s">
        <v>213</v>
      </c>
      <c r="N5" s="2" t="s">
        <v>204</v>
      </c>
      <c r="O5" s="20">
        <v>0.44444444444444442</v>
      </c>
      <c r="P5" s="20">
        <v>0.64583333333333337</v>
      </c>
      <c r="Q5" s="21">
        <f t="shared" si="2"/>
        <v>4.8333333333333348</v>
      </c>
      <c r="R5" s="21"/>
      <c r="T5" s="1"/>
      <c r="U5" s="1"/>
      <c r="V5" s="1"/>
      <c r="W5" s="1"/>
    </row>
    <row r="6" spans="1:23" ht="15" customHeight="1" x14ac:dyDescent="0.35">
      <c r="A6" s="14">
        <v>5</v>
      </c>
      <c r="B6" s="112" t="s">
        <v>208</v>
      </c>
      <c r="C6" s="115" t="s">
        <v>214</v>
      </c>
      <c r="D6" s="15">
        <v>6</v>
      </c>
      <c r="E6" s="16">
        <v>46092</v>
      </c>
      <c r="F6" s="16">
        <v>46092</v>
      </c>
      <c r="G6" s="17" t="str">
        <f t="shared" si="0"/>
        <v>MIÉRCOLES</v>
      </c>
      <c r="H6" s="2" t="s">
        <v>205</v>
      </c>
      <c r="I6" s="5" t="s">
        <v>207</v>
      </c>
      <c r="J6" s="17" t="str">
        <f t="shared" si="3"/>
        <v>MARZO</v>
      </c>
      <c r="K6" s="18">
        <v>140000</v>
      </c>
      <c r="L6" s="19">
        <f t="shared" si="1"/>
        <v>840000</v>
      </c>
      <c r="M6" s="109" t="s">
        <v>213</v>
      </c>
      <c r="N6" s="2" t="s">
        <v>204</v>
      </c>
      <c r="O6" s="20"/>
      <c r="P6" s="20"/>
      <c r="Q6" s="21">
        <f t="shared" si="2"/>
        <v>0</v>
      </c>
      <c r="R6" s="21"/>
      <c r="T6" s="1"/>
      <c r="U6" s="1"/>
      <c r="V6" s="1"/>
      <c r="W6" s="1"/>
    </row>
    <row r="7" spans="1:23" ht="15" customHeight="1" x14ac:dyDescent="0.35">
      <c r="A7" s="14">
        <v>6</v>
      </c>
      <c r="B7" s="112" t="s">
        <v>208</v>
      </c>
      <c r="C7" s="115" t="s">
        <v>215</v>
      </c>
      <c r="D7" s="15">
        <v>4.1900000000000004</v>
      </c>
      <c r="E7" s="16">
        <v>46092</v>
      </c>
      <c r="F7" s="16">
        <v>46092</v>
      </c>
      <c r="G7" s="17" t="str">
        <f t="shared" si="0"/>
        <v>MIÉRCOLES</v>
      </c>
      <c r="H7" s="2" t="s">
        <v>205</v>
      </c>
      <c r="I7" s="5" t="s">
        <v>207</v>
      </c>
      <c r="J7" s="17" t="str">
        <f t="shared" si="3"/>
        <v>MARZO</v>
      </c>
      <c r="K7" s="18">
        <v>140000</v>
      </c>
      <c r="L7" s="19">
        <f t="shared" si="1"/>
        <v>586600</v>
      </c>
      <c r="M7" s="109" t="s">
        <v>213</v>
      </c>
      <c r="N7" s="2" t="s">
        <v>204</v>
      </c>
      <c r="O7" s="20"/>
      <c r="P7" s="20"/>
      <c r="Q7" s="21">
        <f t="shared" si="2"/>
        <v>0</v>
      </c>
      <c r="R7" s="21"/>
      <c r="T7" s="1"/>
      <c r="U7" s="1"/>
      <c r="V7" s="1"/>
      <c r="W7" s="1"/>
    </row>
    <row r="8" spans="1:23" ht="15" customHeight="1" x14ac:dyDescent="0.35">
      <c r="A8" s="14">
        <v>7</v>
      </c>
      <c r="B8" s="112" t="s">
        <v>208</v>
      </c>
      <c r="C8" s="115" t="s">
        <v>216</v>
      </c>
      <c r="D8" s="15">
        <v>3.1</v>
      </c>
      <c r="E8" s="16">
        <v>46092</v>
      </c>
      <c r="F8" s="16">
        <v>46092</v>
      </c>
      <c r="G8" s="17" t="str">
        <f t="shared" si="0"/>
        <v>MIÉRCOLES</v>
      </c>
      <c r="H8" s="2" t="s">
        <v>205</v>
      </c>
      <c r="I8" s="5" t="s">
        <v>207</v>
      </c>
      <c r="J8" s="17" t="str">
        <f t="shared" si="3"/>
        <v>MARZO</v>
      </c>
      <c r="K8" s="18">
        <v>140000</v>
      </c>
      <c r="L8" s="19">
        <f t="shared" si="1"/>
        <v>434000</v>
      </c>
      <c r="M8" s="109" t="s">
        <v>213</v>
      </c>
      <c r="N8" s="2" t="s">
        <v>204</v>
      </c>
      <c r="O8" s="20"/>
      <c r="P8" s="20"/>
      <c r="Q8" s="21">
        <f t="shared" si="2"/>
        <v>0</v>
      </c>
      <c r="R8" s="21"/>
      <c r="T8" s="1"/>
      <c r="U8" s="1"/>
      <c r="V8" s="1"/>
      <c r="W8" s="1"/>
    </row>
    <row r="9" spans="1:23" ht="15" customHeight="1" x14ac:dyDescent="0.35">
      <c r="A9" s="14">
        <v>8</v>
      </c>
      <c r="B9" s="112" t="s">
        <v>208</v>
      </c>
      <c r="C9" s="115" t="s">
        <v>217</v>
      </c>
      <c r="D9" s="113">
        <v>6</v>
      </c>
      <c r="E9" s="16">
        <v>46093</v>
      </c>
      <c r="F9" s="16">
        <v>46093</v>
      </c>
      <c r="G9" s="17" t="str">
        <f t="shared" si="0"/>
        <v>JUEVES</v>
      </c>
      <c r="H9" s="2" t="s">
        <v>205</v>
      </c>
      <c r="I9" s="5" t="s">
        <v>207</v>
      </c>
      <c r="J9" s="17" t="str">
        <f t="shared" si="3"/>
        <v>MARZO</v>
      </c>
      <c r="K9" s="18">
        <v>120000</v>
      </c>
      <c r="L9" s="19">
        <f t="shared" si="1"/>
        <v>720000</v>
      </c>
      <c r="M9" s="109" t="s">
        <v>213</v>
      </c>
      <c r="N9" s="2" t="s">
        <v>204</v>
      </c>
      <c r="O9" s="20"/>
      <c r="P9" s="20"/>
      <c r="Q9" s="21">
        <f t="shared" si="2"/>
        <v>0</v>
      </c>
      <c r="R9" s="21"/>
      <c r="T9" s="1"/>
      <c r="U9" s="1"/>
      <c r="V9" s="1"/>
      <c r="W9" s="1"/>
    </row>
    <row r="10" spans="1:23" ht="15" customHeight="1" x14ac:dyDescent="0.35">
      <c r="A10" s="14">
        <v>9</v>
      </c>
      <c r="B10" s="112" t="s">
        <v>208</v>
      </c>
      <c r="C10" s="115" t="s">
        <v>218</v>
      </c>
      <c r="D10" s="113">
        <v>11.06</v>
      </c>
      <c r="E10" s="16">
        <v>46093</v>
      </c>
      <c r="F10" s="16">
        <v>46093</v>
      </c>
      <c r="G10" s="17" t="str">
        <f t="shared" si="0"/>
        <v>JUEVES</v>
      </c>
      <c r="H10" s="2" t="s">
        <v>205</v>
      </c>
      <c r="I10" s="5" t="s">
        <v>207</v>
      </c>
      <c r="J10" s="17" t="str">
        <f t="shared" si="3"/>
        <v>MARZO</v>
      </c>
      <c r="K10" s="18">
        <v>120000</v>
      </c>
      <c r="L10" s="19">
        <f t="shared" si="1"/>
        <v>1327200</v>
      </c>
      <c r="M10" s="109" t="s">
        <v>213</v>
      </c>
      <c r="N10" s="2" t="s">
        <v>204</v>
      </c>
      <c r="O10" s="20"/>
      <c r="P10" s="20"/>
      <c r="Q10" s="21">
        <f t="shared" si="2"/>
        <v>0</v>
      </c>
      <c r="R10" s="21"/>
      <c r="T10" s="1"/>
      <c r="U10" s="1"/>
      <c r="V10" s="1"/>
      <c r="W10" s="1"/>
    </row>
    <row r="11" spans="1:23" ht="15" customHeight="1" x14ac:dyDescent="0.35">
      <c r="A11" s="14">
        <v>10</v>
      </c>
      <c r="B11" s="112" t="s">
        <v>208</v>
      </c>
      <c r="C11" s="115" t="s">
        <v>218</v>
      </c>
      <c r="D11" s="113">
        <v>11.09</v>
      </c>
      <c r="E11" s="16">
        <v>46094</v>
      </c>
      <c r="F11" s="16">
        <v>46094</v>
      </c>
      <c r="G11" s="17" t="str">
        <f t="shared" si="0"/>
        <v>VIERNES</v>
      </c>
      <c r="H11" s="2" t="s">
        <v>205</v>
      </c>
      <c r="I11" s="5" t="s">
        <v>207</v>
      </c>
      <c r="J11" s="17" t="str">
        <f t="shared" ref="J11" si="4">UPPER(TEXT(F11,"MMMM"))</f>
        <v>MARZO</v>
      </c>
      <c r="K11" s="18">
        <v>120000</v>
      </c>
      <c r="L11" s="19">
        <f t="shared" ref="L11" si="5">+D11*K11</f>
        <v>1330800</v>
      </c>
      <c r="M11" s="109" t="s">
        <v>213</v>
      </c>
      <c r="N11" s="2" t="s">
        <v>204</v>
      </c>
      <c r="O11" s="20"/>
      <c r="P11" s="20"/>
      <c r="Q11" s="21">
        <f>(P11-O11)*24</f>
        <v>0</v>
      </c>
      <c r="R11" s="21"/>
      <c r="T11" s="1"/>
      <c r="U11" s="1"/>
      <c r="V11" s="1"/>
      <c r="W11" s="1"/>
    </row>
    <row r="12" spans="1:23" ht="15" customHeight="1" x14ac:dyDescent="0.35">
      <c r="A12" s="14">
        <v>11</v>
      </c>
      <c r="B12" s="112" t="s">
        <v>219</v>
      </c>
      <c r="C12" s="115" t="s">
        <v>220</v>
      </c>
      <c r="D12" s="15">
        <v>6.8</v>
      </c>
      <c r="E12" s="16">
        <v>46094</v>
      </c>
      <c r="F12" s="16">
        <v>46094</v>
      </c>
      <c r="G12" s="17" t="str">
        <f t="shared" si="0"/>
        <v>VIERNES</v>
      </c>
      <c r="H12" s="2" t="s">
        <v>205</v>
      </c>
      <c r="I12" s="5" t="s">
        <v>207</v>
      </c>
      <c r="J12" s="17" t="str">
        <f t="shared" si="3"/>
        <v>MARZO</v>
      </c>
      <c r="K12" s="18">
        <v>120000</v>
      </c>
      <c r="L12" s="19">
        <f t="shared" si="1"/>
        <v>816000</v>
      </c>
      <c r="M12" s="109" t="s">
        <v>213</v>
      </c>
      <c r="N12" s="2" t="s">
        <v>204</v>
      </c>
      <c r="O12" s="20"/>
      <c r="P12" s="20"/>
      <c r="Q12" s="21">
        <f t="shared" si="2"/>
        <v>0</v>
      </c>
      <c r="R12" s="21"/>
      <c r="T12" s="1"/>
      <c r="U12" s="1"/>
      <c r="V12" s="1"/>
      <c r="W12" s="1"/>
    </row>
    <row r="13" spans="1:23" ht="15" customHeight="1" x14ac:dyDescent="0.35">
      <c r="A13" s="14">
        <v>12</v>
      </c>
      <c r="B13" s="112" t="s">
        <v>219</v>
      </c>
      <c r="C13" s="115" t="s">
        <v>221</v>
      </c>
      <c r="D13" s="15">
        <v>2.95</v>
      </c>
      <c r="E13" s="16">
        <v>46094</v>
      </c>
      <c r="F13" s="16">
        <v>46094</v>
      </c>
      <c r="G13" s="17" t="str">
        <f t="shared" si="0"/>
        <v>VIERNES</v>
      </c>
      <c r="H13" s="2" t="s">
        <v>205</v>
      </c>
      <c r="I13" s="5" t="s">
        <v>207</v>
      </c>
      <c r="J13" s="17" t="str">
        <f t="shared" si="3"/>
        <v>MARZO</v>
      </c>
      <c r="K13" s="18">
        <v>120000</v>
      </c>
      <c r="L13" s="19">
        <f t="shared" si="1"/>
        <v>354000</v>
      </c>
      <c r="M13" s="109" t="s">
        <v>213</v>
      </c>
      <c r="N13" s="2" t="s">
        <v>204</v>
      </c>
      <c r="O13" s="20"/>
      <c r="P13" s="20"/>
      <c r="Q13" s="21">
        <f t="shared" si="2"/>
        <v>0</v>
      </c>
      <c r="R13" s="21"/>
      <c r="T13" s="1"/>
      <c r="U13" s="1"/>
      <c r="V13" s="1"/>
      <c r="W13" s="1"/>
    </row>
    <row r="14" spans="1:23" ht="15" customHeight="1" x14ac:dyDescent="0.35">
      <c r="A14" s="14">
        <v>13</v>
      </c>
      <c r="B14" s="112" t="s">
        <v>219</v>
      </c>
      <c r="C14" s="115" t="s">
        <v>9</v>
      </c>
      <c r="D14" s="15">
        <v>2.87</v>
      </c>
      <c r="E14" s="16">
        <v>46094</v>
      </c>
      <c r="F14" s="16">
        <v>46094</v>
      </c>
      <c r="G14" s="17" t="str">
        <f t="shared" si="0"/>
        <v>VIERNES</v>
      </c>
      <c r="H14" s="2" t="s">
        <v>205</v>
      </c>
      <c r="I14" s="5" t="s">
        <v>207</v>
      </c>
      <c r="J14" s="17" t="str">
        <f t="shared" si="3"/>
        <v>MARZO</v>
      </c>
      <c r="K14" s="18">
        <v>120000</v>
      </c>
      <c r="L14" s="19">
        <f t="shared" si="1"/>
        <v>344400</v>
      </c>
      <c r="M14" s="109" t="s">
        <v>213</v>
      </c>
      <c r="N14" s="2" t="s">
        <v>204</v>
      </c>
      <c r="O14" s="20"/>
      <c r="P14" s="20"/>
      <c r="Q14" s="21">
        <f t="shared" si="2"/>
        <v>0</v>
      </c>
      <c r="R14" s="21"/>
      <c r="T14" s="1"/>
      <c r="U14" s="1"/>
      <c r="V14" s="1"/>
      <c r="W14" s="1"/>
    </row>
    <row r="15" spans="1:23" ht="15" customHeight="1" x14ac:dyDescent="0.35">
      <c r="A15" s="14">
        <v>14</v>
      </c>
      <c r="B15" s="112" t="s">
        <v>219</v>
      </c>
      <c r="C15" s="115" t="s">
        <v>9</v>
      </c>
      <c r="D15" s="15">
        <v>6.87</v>
      </c>
      <c r="E15" s="16">
        <v>46095</v>
      </c>
      <c r="F15" s="16">
        <v>46095</v>
      </c>
      <c r="G15" s="17" t="str">
        <f t="shared" si="0"/>
        <v>SÁBADO</v>
      </c>
      <c r="H15" s="2" t="s">
        <v>205</v>
      </c>
      <c r="I15" s="5" t="s">
        <v>207</v>
      </c>
      <c r="J15" s="17" t="str">
        <f t="shared" si="3"/>
        <v>MARZO</v>
      </c>
      <c r="K15" s="18">
        <v>120000</v>
      </c>
      <c r="L15" s="19">
        <f t="shared" si="1"/>
        <v>824400</v>
      </c>
      <c r="M15" s="109" t="s">
        <v>213</v>
      </c>
      <c r="N15" s="2" t="s">
        <v>204</v>
      </c>
      <c r="O15" s="20"/>
      <c r="P15" s="20"/>
      <c r="Q15" s="21">
        <f t="shared" si="2"/>
        <v>0</v>
      </c>
      <c r="R15" s="21"/>
      <c r="T15" s="1"/>
      <c r="U15" s="1"/>
      <c r="V15" s="1"/>
      <c r="W15" s="1"/>
    </row>
    <row r="16" spans="1:23" ht="15" customHeight="1" x14ac:dyDescent="0.35">
      <c r="A16" s="14">
        <v>15</v>
      </c>
      <c r="B16" s="112" t="s">
        <v>219</v>
      </c>
      <c r="C16" s="115" t="s">
        <v>222</v>
      </c>
      <c r="D16" s="15">
        <v>4.42</v>
      </c>
      <c r="E16" s="16">
        <v>46095</v>
      </c>
      <c r="F16" s="16">
        <v>46095</v>
      </c>
      <c r="G16" s="17" t="str">
        <f t="shared" ref="G16:G17" si="6">IF(F16="","",UPPER(TEXT(F16,"dddd")))</f>
        <v>SÁBADO</v>
      </c>
      <c r="H16" s="2" t="s">
        <v>205</v>
      </c>
      <c r="I16" s="5" t="s">
        <v>207</v>
      </c>
      <c r="J16" s="17" t="str">
        <f t="shared" ref="J16:J17" si="7">UPPER(TEXT(F16,"MMMM"))</f>
        <v>MARZO</v>
      </c>
      <c r="K16" s="18">
        <v>120000</v>
      </c>
      <c r="L16" s="19">
        <f t="shared" ref="L16:L19" si="8">+D16*K16</f>
        <v>530400</v>
      </c>
      <c r="M16" s="109" t="s">
        <v>213</v>
      </c>
      <c r="N16" s="2" t="s">
        <v>204</v>
      </c>
      <c r="O16" s="20"/>
      <c r="P16" s="20"/>
      <c r="Q16" s="21">
        <f t="shared" ref="Q16:Q19" si="9">(P16-O16)*24</f>
        <v>0</v>
      </c>
      <c r="R16" s="21"/>
      <c r="T16" s="1"/>
      <c r="U16" s="1"/>
      <c r="V16" s="1"/>
      <c r="W16" s="1"/>
    </row>
    <row r="17" spans="1:23" ht="15" customHeight="1" x14ac:dyDescent="0.35">
      <c r="A17" s="14">
        <v>16</v>
      </c>
      <c r="B17" s="112" t="s">
        <v>219</v>
      </c>
      <c r="C17" s="115" t="s">
        <v>223</v>
      </c>
      <c r="D17" s="15">
        <v>6.86</v>
      </c>
      <c r="E17" s="16">
        <v>46095</v>
      </c>
      <c r="F17" s="16">
        <v>46095</v>
      </c>
      <c r="G17" s="17" t="str">
        <f t="shared" si="6"/>
        <v>SÁBADO</v>
      </c>
      <c r="H17" s="2" t="s">
        <v>205</v>
      </c>
      <c r="I17" s="5" t="s">
        <v>207</v>
      </c>
      <c r="J17" s="17" t="str">
        <f t="shared" si="7"/>
        <v>MARZO</v>
      </c>
      <c r="K17" s="18">
        <v>120000</v>
      </c>
      <c r="L17" s="19">
        <f t="shared" si="8"/>
        <v>823200</v>
      </c>
      <c r="M17" s="109" t="s">
        <v>213</v>
      </c>
      <c r="N17" s="2" t="s">
        <v>204</v>
      </c>
      <c r="O17" s="20"/>
      <c r="P17" s="20"/>
      <c r="Q17" s="21">
        <f t="shared" si="9"/>
        <v>0</v>
      </c>
      <c r="R17" s="21"/>
      <c r="T17" s="1"/>
      <c r="U17" s="1"/>
      <c r="V17" s="1"/>
      <c r="W17" s="1"/>
    </row>
    <row r="18" spans="1:23" ht="15" customHeight="1" x14ac:dyDescent="0.35">
      <c r="A18" s="14">
        <v>17</v>
      </c>
      <c r="B18" s="112" t="s">
        <v>219</v>
      </c>
      <c r="C18" s="115" t="s">
        <v>225</v>
      </c>
      <c r="D18" s="15">
        <v>6.8</v>
      </c>
      <c r="E18" s="16">
        <v>46097</v>
      </c>
      <c r="F18" s="16">
        <v>46097</v>
      </c>
      <c r="G18" s="17" t="str">
        <f t="shared" ref="G18" si="10">IF(F18="","",UPPER(TEXT(F18,"dddd")))</f>
        <v>LUNES</v>
      </c>
      <c r="H18" s="2" t="s">
        <v>205</v>
      </c>
      <c r="I18" s="5" t="s">
        <v>207</v>
      </c>
      <c r="J18" s="17" t="str">
        <f t="shared" ref="J18" si="11">UPPER(TEXT(F18,"MMMM"))</f>
        <v>MARZO</v>
      </c>
      <c r="K18" s="18">
        <v>120000</v>
      </c>
      <c r="L18" s="19">
        <f t="shared" si="8"/>
        <v>816000</v>
      </c>
      <c r="M18" s="109" t="s">
        <v>213</v>
      </c>
      <c r="N18" s="2" t="s">
        <v>204</v>
      </c>
      <c r="O18" s="20"/>
      <c r="P18" s="20"/>
      <c r="Q18" s="21">
        <f t="shared" si="9"/>
        <v>0</v>
      </c>
      <c r="R18" s="21"/>
      <c r="T18" s="1"/>
      <c r="U18" s="1"/>
      <c r="V18" s="1"/>
      <c r="W18" s="1"/>
    </row>
    <row r="19" spans="1:23" ht="15" customHeight="1" x14ac:dyDescent="0.35">
      <c r="A19" s="14">
        <v>18</v>
      </c>
      <c r="B19" s="112" t="s">
        <v>219</v>
      </c>
      <c r="C19" s="115" t="s">
        <v>226</v>
      </c>
      <c r="D19" s="15">
        <v>2.5</v>
      </c>
      <c r="E19" s="16">
        <v>46097</v>
      </c>
      <c r="F19" s="16">
        <v>46097</v>
      </c>
      <c r="G19" s="17" t="str">
        <f t="shared" ref="G19:G21" si="12">IF(F19="","",UPPER(TEXT(F19,"dddd")))</f>
        <v>LUNES</v>
      </c>
      <c r="H19" s="2" t="s">
        <v>205</v>
      </c>
      <c r="I19" s="5" t="s">
        <v>207</v>
      </c>
      <c r="J19" s="17" t="str">
        <f t="shared" ref="J19" si="13">UPPER(TEXT(F19,"MMMM"))</f>
        <v>MARZO</v>
      </c>
      <c r="K19" s="18">
        <v>120000</v>
      </c>
      <c r="L19" s="19">
        <f t="shared" si="8"/>
        <v>300000</v>
      </c>
      <c r="M19" s="109" t="s">
        <v>213</v>
      </c>
      <c r="N19" s="2" t="s">
        <v>204</v>
      </c>
      <c r="O19" s="20"/>
      <c r="P19" s="20"/>
      <c r="Q19" s="21">
        <f t="shared" si="9"/>
        <v>0</v>
      </c>
      <c r="R19" s="21"/>
      <c r="T19" s="1"/>
      <c r="U19" s="1"/>
      <c r="V19" s="1"/>
      <c r="W19" s="1"/>
    </row>
    <row r="20" spans="1:23" ht="15" customHeight="1" x14ac:dyDescent="0.35">
      <c r="A20" s="14">
        <v>19</v>
      </c>
      <c r="B20" s="112" t="s">
        <v>219</v>
      </c>
      <c r="C20" s="115" t="s">
        <v>227</v>
      </c>
      <c r="D20" s="15">
        <v>2.68</v>
      </c>
      <c r="E20" s="16">
        <v>46098</v>
      </c>
      <c r="F20" s="16">
        <v>46098</v>
      </c>
      <c r="G20" s="17" t="str">
        <f t="shared" si="12"/>
        <v>MARTES</v>
      </c>
      <c r="H20" s="2" t="s">
        <v>205</v>
      </c>
      <c r="I20" s="5" t="s">
        <v>207</v>
      </c>
      <c r="J20" s="17" t="str">
        <f t="shared" ref="J20:J21" si="14">UPPER(TEXT(F20,"MMMM"))</f>
        <v>MARZO</v>
      </c>
      <c r="K20" s="18">
        <v>120000</v>
      </c>
      <c r="L20" s="19">
        <f t="shared" ref="L20:L24" si="15">+D20*K20</f>
        <v>321600</v>
      </c>
      <c r="M20" s="109" t="s">
        <v>213</v>
      </c>
      <c r="N20" s="2" t="s">
        <v>204</v>
      </c>
      <c r="O20" s="20"/>
      <c r="P20" s="20"/>
      <c r="Q20" s="21">
        <f t="shared" ref="Q20:Q24" si="16">(P20-O20)*24</f>
        <v>0</v>
      </c>
      <c r="R20" s="21"/>
      <c r="T20" s="1"/>
      <c r="U20" s="1"/>
      <c r="V20" s="1"/>
      <c r="W20" s="1"/>
    </row>
    <row r="21" spans="1:23" ht="15" customHeight="1" x14ac:dyDescent="0.35">
      <c r="A21" s="14">
        <v>20</v>
      </c>
      <c r="B21" s="112" t="s">
        <v>219</v>
      </c>
      <c r="C21" s="115" t="s">
        <v>228</v>
      </c>
      <c r="D21" s="15">
        <v>5.28</v>
      </c>
      <c r="E21" s="16">
        <v>46098</v>
      </c>
      <c r="F21" s="16">
        <v>46098</v>
      </c>
      <c r="G21" s="17" t="str">
        <f t="shared" si="12"/>
        <v>MARTES</v>
      </c>
      <c r="H21" s="2" t="s">
        <v>205</v>
      </c>
      <c r="I21" s="5" t="s">
        <v>207</v>
      </c>
      <c r="J21" s="17" t="str">
        <f t="shared" si="14"/>
        <v>MARZO</v>
      </c>
      <c r="K21" s="18">
        <v>140000</v>
      </c>
      <c r="L21" s="19">
        <f t="shared" ref="L21:L22" si="17">+D21*K21</f>
        <v>739200</v>
      </c>
      <c r="M21" s="109" t="s">
        <v>213</v>
      </c>
      <c r="N21" s="2" t="s">
        <v>204</v>
      </c>
      <c r="O21" s="20"/>
      <c r="P21" s="20"/>
      <c r="Q21" s="21">
        <f t="shared" ref="Q21:Q22" si="18">(P21-O21)*24</f>
        <v>0</v>
      </c>
      <c r="R21" s="21"/>
      <c r="T21" s="1"/>
      <c r="U21" s="1"/>
      <c r="V21" s="1"/>
      <c r="W21" s="1"/>
    </row>
    <row r="22" spans="1:23" ht="15" customHeight="1" x14ac:dyDescent="0.35">
      <c r="A22" s="14">
        <v>21</v>
      </c>
      <c r="B22" s="112" t="s">
        <v>219</v>
      </c>
      <c r="C22" s="115" t="s">
        <v>229</v>
      </c>
      <c r="D22" s="15">
        <v>10.220000000000001</v>
      </c>
      <c r="E22" s="16">
        <v>46098</v>
      </c>
      <c r="F22" s="16">
        <v>46098</v>
      </c>
      <c r="G22" s="17" t="str">
        <f t="shared" ref="G22:G24" si="19">IF(F22="","",UPPER(TEXT(F22,"dddd")))</f>
        <v>MARTES</v>
      </c>
      <c r="H22" s="2" t="s">
        <v>205</v>
      </c>
      <c r="I22" s="5" t="s">
        <v>207</v>
      </c>
      <c r="J22" s="17" t="str">
        <f t="shared" ref="J22:J24" si="20">UPPER(TEXT(F22,"MMMM"))</f>
        <v>MARZO</v>
      </c>
      <c r="K22" s="18">
        <v>120000</v>
      </c>
      <c r="L22" s="19">
        <f t="shared" si="17"/>
        <v>1226400</v>
      </c>
      <c r="M22" s="109" t="s">
        <v>213</v>
      </c>
      <c r="N22" s="2" t="s">
        <v>204</v>
      </c>
      <c r="O22" s="20"/>
      <c r="P22" s="20"/>
      <c r="Q22" s="21">
        <f t="shared" si="18"/>
        <v>0</v>
      </c>
      <c r="R22" s="21"/>
      <c r="T22" s="1"/>
      <c r="U22" s="1"/>
      <c r="V22" s="1"/>
      <c r="W22" s="1"/>
    </row>
    <row r="23" spans="1:23" ht="15" customHeight="1" x14ac:dyDescent="0.35">
      <c r="A23" s="14">
        <v>22</v>
      </c>
      <c r="B23" s="112" t="s">
        <v>219</v>
      </c>
      <c r="C23" s="115" t="s">
        <v>230</v>
      </c>
      <c r="D23" s="15">
        <v>3.88</v>
      </c>
      <c r="E23" s="16">
        <v>46098</v>
      </c>
      <c r="F23" s="16">
        <v>46098</v>
      </c>
      <c r="G23" s="17" t="str">
        <f t="shared" si="19"/>
        <v>MARTES</v>
      </c>
      <c r="H23" s="2" t="s">
        <v>205</v>
      </c>
      <c r="I23" s="5" t="s">
        <v>207</v>
      </c>
      <c r="J23" s="17" t="str">
        <f t="shared" si="20"/>
        <v>MARZO</v>
      </c>
      <c r="K23" s="18">
        <v>120000</v>
      </c>
      <c r="L23" s="19">
        <f>+D23*K23</f>
        <v>465600</v>
      </c>
      <c r="M23" s="109" t="s">
        <v>213</v>
      </c>
      <c r="N23" s="2" t="s">
        <v>204</v>
      </c>
      <c r="O23" s="20"/>
      <c r="P23" s="20"/>
      <c r="Q23" s="21">
        <f>(P23-O23)*24</f>
        <v>0</v>
      </c>
      <c r="R23" s="21"/>
      <c r="T23" s="1"/>
      <c r="U23" s="1"/>
      <c r="V23" s="1"/>
      <c r="W23" s="1"/>
    </row>
    <row r="24" spans="1:23" ht="15" customHeight="1" x14ac:dyDescent="0.35">
      <c r="A24" s="14">
        <v>23</v>
      </c>
      <c r="B24" s="112" t="s">
        <v>219</v>
      </c>
      <c r="C24" s="115" t="s">
        <v>231</v>
      </c>
      <c r="D24" s="15">
        <v>4.66</v>
      </c>
      <c r="E24" s="16">
        <v>46098</v>
      </c>
      <c r="F24" s="16">
        <v>46098</v>
      </c>
      <c r="G24" s="17" t="str">
        <f t="shared" si="19"/>
        <v>MARTES</v>
      </c>
      <c r="H24" s="2" t="s">
        <v>205</v>
      </c>
      <c r="I24" s="5" t="s">
        <v>207</v>
      </c>
      <c r="J24" s="17" t="str">
        <f t="shared" si="20"/>
        <v>MARZO</v>
      </c>
      <c r="K24" s="18">
        <v>120000</v>
      </c>
      <c r="L24" s="19">
        <f t="shared" si="15"/>
        <v>559200</v>
      </c>
      <c r="M24" s="109" t="s">
        <v>213</v>
      </c>
      <c r="N24" s="2" t="s">
        <v>204</v>
      </c>
      <c r="O24" s="20"/>
      <c r="P24" s="20"/>
      <c r="Q24" s="21">
        <f t="shared" si="16"/>
        <v>0</v>
      </c>
      <c r="R24" s="21"/>
      <c r="T24" s="1"/>
      <c r="U24" s="1"/>
      <c r="V24" s="1"/>
      <c r="W24" s="1"/>
    </row>
    <row r="25" spans="1:23" ht="15" customHeight="1" x14ac:dyDescent="0.35">
      <c r="A25" s="14">
        <v>24</v>
      </c>
      <c r="B25" s="1" t="s">
        <v>206</v>
      </c>
      <c r="C25" s="115" t="s">
        <v>232</v>
      </c>
      <c r="D25" s="15">
        <v>17.04</v>
      </c>
      <c r="E25" s="16">
        <v>46100</v>
      </c>
      <c r="F25" s="16">
        <v>46100</v>
      </c>
      <c r="G25" s="17" t="str">
        <f t="shared" ref="G25" si="21">IF(F25="","",UPPER(TEXT(F25,"dddd")))</f>
        <v>JUEVES</v>
      </c>
      <c r="H25" s="2" t="s">
        <v>205</v>
      </c>
      <c r="I25" s="5" t="s">
        <v>207</v>
      </c>
      <c r="J25" s="17" t="str">
        <f t="shared" si="3"/>
        <v>MARZO</v>
      </c>
      <c r="K25" s="18">
        <v>250000</v>
      </c>
      <c r="L25" s="19">
        <f t="shared" si="1"/>
        <v>4260000</v>
      </c>
      <c r="M25" s="2" t="s">
        <v>206</v>
      </c>
      <c r="N25" s="1" t="s">
        <v>204</v>
      </c>
      <c r="O25" s="20">
        <v>0</v>
      </c>
      <c r="P25" s="20">
        <v>0</v>
      </c>
      <c r="Q25" s="21">
        <f t="shared" si="2"/>
        <v>0</v>
      </c>
      <c r="R25" s="111"/>
    </row>
    <row r="26" spans="1:23" ht="15" customHeight="1" x14ac:dyDescent="0.35">
      <c r="A26" s="14">
        <v>25</v>
      </c>
      <c r="B26" s="1" t="s">
        <v>233</v>
      </c>
      <c r="C26" s="1" t="s">
        <v>233</v>
      </c>
      <c r="D26" s="15">
        <v>11.02</v>
      </c>
      <c r="E26" s="16">
        <v>46106</v>
      </c>
      <c r="F26" s="16">
        <v>46106</v>
      </c>
      <c r="G26" s="17" t="str">
        <f t="shared" ref="G26" si="22">IF(F26="","",UPPER(TEXT(F26,"dddd")))</f>
        <v>MIÉRCOLES</v>
      </c>
      <c r="H26" s="2" t="s">
        <v>205</v>
      </c>
      <c r="I26" s="5" t="s">
        <v>207</v>
      </c>
      <c r="J26" s="17" t="str">
        <f t="shared" ref="J26" si="23">UPPER(TEXT(F26,"MMMM"))</f>
        <v>MARZO</v>
      </c>
      <c r="K26" s="18">
        <v>120000</v>
      </c>
      <c r="L26" s="19">
        <f>+D26*K26</f>
        <v>1322400</v>
      </c>
      <c r="M26" s="2" t="s">
        <v>234</v>
      </c>
      <c r="N26" s="1" t="s">
        <v>204</v>
      </c>
      <c r="O26" s="20"/>
      <c r="P26" s="20"/>
      <c r="Q26" s="21">
        <f>(P26-O26)*24</f>
        <v>0</v>
      </c>
      <c r="R26" s="111"/>
    </row>
    <row r="27" spans="1:23" ht="15" customHeight="1" x14ac:dyDescent="0.35">
      <c r="A27" s="14">
        <v>26</v>
      </c>
      <c r="B27" s="1" t="s">
        <v>233</v>
      </c>
      <c r="C27" s="124" t="s">
        <v>235</v>
      </c>
      <c r="D27" s="2">
        <v>17.649999999999999</v>
      </c>
      <c r="E27" s="16">
        <v>46107</v>
      </c>
      <c r="F27" s="16">
        <v>46107</v>
      </c>
      <c r="G27" s="17" t="str">
        <f t="shared" ref="G27" si="24">IF(F27="","",UPPER(TEXT(F27,"dddd")))</f>
        <v>JUEVES</v>
      </c>
      <c r="H27" s="2" t="s">
        <v>205</v>
      </c>
      <c r="I27" s="5" t="s">
        <v>207</v>
      </c>
      <c r="J27" s="17" t="str">
        <f t="shared" ref="J27" si="25">UPPER(TEXT(F27,"MMMM"))</f>
        <v>MARZO</v>
      </c>
      <c r="K27" s="18">
        <v>120000</v>
      </c>
      <c r="L27" s="110">
        <f t="shared" ref="L27" si="26">+D27*K27</f>
        <v>2118000</v>
      </c>
      <c r="M27" s="2" t="s">
        <v>234</v>
      </c>
      <c r="N27" s="1" t="s">
        <v>204</v>
      </c>
      <c r="P27" s="4"/>
      <c r="Q27" s="21">
        <f t="shared" ref="Q27" si="27">(P27-O27)*24</f>
        <v>0</v>
      </c>
      <c r="R27" s="111"/>
    </row>
    <row r="28" spans="1:23" ht="15" customHeight="1" x14ac:dyDescent="0.35">
      <c r="A28" s="14">
        <v>27</v>
      </c>
      <c r="B28" s="1" t="s">
        <v>233</v>
      </c>
      <c r="C28" s="115" t="s">
        <v>236</v>
      </c>
      <c r="D28" s="2">
        <v>6.86</v>
      </c>
      <c r="E28" s="16">
        <v>46108</v>
      </c>
      <c r="F28" s="16">
        <v>46108</v>
      </c>
      <c r="G28" s="17" t="str">
        <f t="shared" ref="G28:G29" si="28">IF(F28="","",UPPER(TEXT(F28,"dddd")))</f>
        <v>VIERNES</v>
      </c>
      <c r="H28" s="2" t="s">
        <v>205</v>
      </c>
      <c r="I28" s="5" t="s">
        <v>207</v>
      </c>
      <c r="J28" s="17" t="str">
        <f t="shared" ref="J28:J29" si="29">UPPER(TEXT(F28,"MMMM"))</f>
        <v>MARZO</v>
      </c>
      <c r="K28" s="18">
        <v>120000</v>
      </c>
      <c r="L28" s="110">
        <f t="shared" ref="L28:L29" si="30">+D28*K28</f>
        <v>823200</v>
      </c>
      <c r="M28" s="2" t="s">
        <v>234</v>
      </c>
      <c r="N28" s="1" t="s">
        <v>204</v>
      </c>
      <c r="P28" s="4"/>
      <c r="Q28" s="21">
        <f t="shared" ref="Q28:Q29" si="31">(P28-O28)*24</f>
        <v>0</v>
      </c>
      <c r="R28" s="111"/>
    </row>
    <row r="29" spans="1:23" ht="15" customHeight="1" x14ac:dyDescent="0.35">
      <c r="A29" s="14">
        <v>28</v>
      </c>
      <c r="B29" s="1" t="s">
        <v>233</v>
      </c>
      <c r="C29" s="124" t="s">
        <v>237</v>
      </c>
      <c r="D29" s="2">
        <v>19.8</v>
      </c>
      <c r="E29" s="16">
        <v>46111</v>
      </c>
      <c r="F29" s="16">
        <v>46111</v>
      </c>
      <c r="G29" s="17" t="str">
        <f t="shared" si="28"/>
        <v>LUNES</v>
      </c>
      <c r="H29" s="2" t="s">
        <v>205</v>
      </c>
      <c r="I29" s="5" t="s">
        <v>207</v>
      </c>
      <c r="J29" s="17" t="str">
        <f t="shared" si="29"/>
        <v>MARZO</v>
      </c>
      <c r="K29" s="18">
        <v>120000</v>
      </c>
      <c r="L29" s="110">
        <f t="shared" si="30"/>
        <v>2376000</v>
      </c>
      <c r="M29" s="2" t="s">
        <v>234</v>
      </c>
      <c r="N29" s="1" t="s">
        <v>204</v>
      </c>
      <c r="P29" s="4"/>
      <c r="Q29" s="21">
        <f t="shared" si="31"/>
        <v>0</v>
      </c>
      <c r="R29" s="111"/>
    </row>
    <row r="30" spans="1:23" ht="15" customHeight="1" x14ac:dyDescent="0.35">
      <c r="A30" s="14">
        <v>29</v>
      </c>
      <c r="B30" s="1" t="s">
        <v>233</v>
      </c>
      <c r="C30" s="115" t="s">
        <v>238</v>
      </c>
      <c r="D30" s="2">
        <v>14.1</v>
      </c>
      <c r="E30" s="16">
        <v>46112</v>
      </c>
      <c r="F30" s="16">
        <v>46112</v>
      </c>
      <c r="G30" s="17" t="str">
        <f t="shared" ref="G30:G33" si="32">IF(F30="","",UPPER(TEXT(F30,"dddd")))</f>
        <v>MARTES</v>
      </c>
      <c r="H30" s="2" t="s">
        <v>205</v>
      </c>
      <c r="I30" s="5" t="s">
        <v>207</v>
      </c>
      <c r="J30" s="17" t="str">
        <f t="shared" ref="J30" si="33">UPPER(TEXT(F30,"MMMM"))</f>
        <v>MARZO</v>
      </c>
      <c r="K30" s="18">
        <v>120000</v>
      </c>
      <c r="L30" s="110">
        <f t="shared" ref="L30" si="34">+D30*K30</f>
        <v>1692000</v>
      </c>
      <c r="M30" s="2" t="s">
        <v>234</v>
      </c>
      <c r="N30" s="1" t="s">
        <v>204</v>
      </c>
      <c r="P30" s="4"/>
      <c r="Q30" s="21">
        <f t="shared" ref="Q30:Q32" si="35">(P30-O30)*24</f>
        <v>0</v>
      </c>
      <c r="R30" s="111"/>
    </row>
    <row r="31" spans="1:23" ht="15" customHeight="1" x14ac:dyDescent="0.35">
      <c r="A31" s="14">
        <v>30</v>
      </c>
      <c r="B31" s="1" t="s">
        <v>233</v>
      </c>
      <c r="C31" s="125" t="s">
        <v>240</v>
      </c>
      <c r="D31" s="113">
        <v>17.240000000000009</v>
      </c>
      <c r="E31" s="16">
        <v>46112</v>
      </c>
      <c r="F31" s="16">
        <v>46112</v>
      </c>
      <c r="G31" s="17" t="str">
        <f t="shared" ref="G31" si="36">IF(F31="","",UPPER(TEXT(F31,"dddd")))</f>
        <v>MARTES</v>
      </c>
      <c r="H31" s="2" t="s">
        <v>205</v>
      </c>
      <c r="I31" s="5" t="s">
        <v>207</v>
      </c>
      <c r="J31" s="17" t="str">
        <f t="shared" ref="J31" si="37">UPPER(TEXT(F31,"MMMM"))</f>
        <v>MARZO</v>
      </c>
      <c r="K31" s="18">
        <v>120000</v>
      </c>
      <c r="L31" s="110">
        <f t="shared" ref="L31" si="38">+D31*K31</f>
        <v>2068800.0000000012</v>
      </c>
      <c r="M31" s="2" t="s">
        <v>234</v>
      </c>
      <c r="N31" s="1" t="s">
        <v>204</v>
      </c>
      <c r="P31" s="4"/>
      <c r="Q31" s="21">
        <f>(P31-O31)*24</f>
        <v>0</v>
      </c>
      <c r="R31" s="111"/>
    </row>
    <row r="32" spans="1:23" ht="15" customHeight="1" x14ac:dyDescent="0.35">
      <c r="A32" s="14">
        <v>31</v>
      </c>
      <c r="B32" s="1" t="s">
        <v>233</v>
      </c>
      <c r="C32" s="125" t="s">
        <v>239</v>
      </c>
      <c r="D32" s="2">
        <v>86.67</v>
      </c>
      <c r="E32" s="16">
        <v>46113</v>
      </c>
      <c r="F32" s="16">
        <v>46113</v>
      </c>
      <c r="G32" s="17" t="str">
        <f t="shared" si="32"/>
        <v>MIÉRCOLES</v>
      </c>
      <c r="H32" s="2" t="s">
        <v>205</v>
      </c>
      <c r="I32" s="5" t="s">
        <v>207</v>
      </c>
      <c r="J32" s="17" t="str">
        <f t="shared" ref="J32" si="39">UPPER(TEXT(F32,"MMMM"))</f>
        <v>ABRIL</v>
      </c>
      <c r="K32" s="18">
        <v>80000</v>
      </c>
      <c r="L32" s="110">
        <f t="shared" ref="L32" si="40">+D32*K32</f>
        <v>6933600</v>
      </c>
      <c r="M32" s="2" t="s">
        <v>234</v>
      </c>
      <c r="N32" s="1" t="s">
        <v>204</v>
      </c>
      <c r="P32" s="4"/>
      <c r="Q32" s="21">
        <f t="shared" si="35"/>
        <v>0</v>
      </c>
      <c r="R32" s="111"/>
    </row>
    <row r="33" spans="1:18" ht="15" customHeight="1" x14ac:dyDescent="0.35">
      <c r="A33" s="14">
        <v>32</v>
      </c>
      <c r="B33" s="1" t="s">
        <v>247</v>
      </c>
      <c r="D33" s="2">
        <v>9</v>
      </c>
      <c r="E33" s="16">
        <v>46134</v>
      </c>
      <c r="F33" s="16">
        <v>46134</v>
      </c>
      <c r="G33" s="17" t="str">
        <f t="shared" si="32"/>
        <v>MIÉRCOLES</v>
      </c>
      <c r="H33" s="2" t="s">
        <v>205</v>
      </c>
      <c r="I33" s="5" t="s">
        <v>252</v>
      </c>
      <c r="J33" s="17" t="str">
        <f t="shared" ref="J33" si="41">UPPER(TEXT(F33,"MMMM"))</f>
        <v>ABRIL</v>
      </c>
      <c r="K33" s="18">
        <v>120000</v>
      </c>
      <c r="L33" s="110">
        <f t="shared" ref="L33" si="42">+D33*K33</f>
        <v>1080000</v>
      </c>
      <c r="N33" s="1" t="s">
        <v>204</v>
      </c>
      <c r="P33" s="4"/>
      <c r="Q33" s="21">
        <f t="shared" ref="Q33:Q46" si="43">(P33-O33)*24</f>
        <v>0</v>
      </c>
      <c r="R33" s="111"/>
    </row>
    <row r="34" spans="1:18" ht="15" customHeight="1" x14ac:dyDescent="0.35">
      <c r="A34" s="14">
        <v>33</v>
      </c>
      <c r="B34" s="1" t="s">
        <v>246</v>
      </c>
      <c r="D34" s="113">
        <v>10.5</v>
      </c>
      <c r="E34" s="16">
        <v>46140</v>
      </c>
      <c r="F34" s="16">
        <v>46140</v>
      </c>
      <c r="G34" s="17" t="str">
        <f t="shared" ref="G34" si="44">IF(F34="","",UPPER(TEXT(F34,"dddd")))</f>
        <v>MARTES</v>
      </c>
      <c r="H34" s="2" t="s">
        <v>205</v>
      </c>
      <c r="I34" s="5" t="s">
        <v>252</v>
      </c>
      <c r="J34" s="17" t="str">
        <f t="shared" ref="J34" si="45">UPPER(TEXT(F34,"MMMM"))</f>
        <v>ABRIL</v>
      </c>
      <c r="K34" s="18">
        <v>120000</v>
      </c>
      <c r="L34" s="110">
        <f t="shared" ref="L34" si="46">+D34*K34</f>
        <v>1260000</v>
      </c>
      <c r="N34" s="1" t="s">
        <v>204</v>
      </c>
      <c r="P34" s="4"/>
      <c r="Q34" s="21">
        <f t="shared" si="43"/>
        <v>0</v>
      </c>
      <c r="R34" s="111"/>
    </row>
    <row r="35" spans="1:18" ht="15" customHeight="1" x14ac:dyDescent="0.35">
      <c r="A35" s="14">
        <v>34</v>
      </c>
      <c r="B35" s="1" t="s">
        <v>244</v>
      </c>
      <c r="D35" s="2">
        <v>12.6</v>
      </c>
      <c r="E35" s="16">
        <v>46141</v>
      </c>
      <c r="F35" s="16">
        <v>46141</v>
      </c>
      <c r="G35" s="17" t="str">
        <f t="shared" ref="G35:G36" si="47">IF(F35="","",UPPER(TEXT(F35,"dddd")))</f>
        <v>MIÉRCOLES</v>
      </c>
      <c r="H35" s="2" t="s">
        <v>205</v>
      </c>
      <c r="I35" s="5" t="s">
        <v>252</v>
      </c>
      <c r="J35" s="17" t="str">
        <f t="shared" ref="J35" si="48">UPPER(TEXT(F35,"MMMM"))</f>
        <v>ABRIL</v>
      </c>
      <c r="K35" s="18">
        <v>120000</v>
      </c>
      <c r="L35" s="110">
        <f t="shared" ref="L35" si="49">+D35*K35</f>
        <v>1512000</v>
      </c>
      <c r="N35" s="1" t="s">
        <v>204</v>
      </c>
      <c r="P35" s="4"/>
      <c r="Q35" s="21">
        <f t="shared" si="43"/>
        <v>0</v>
      </c>
      <c r="R35" s="111"/>
    </row>
    <row r="36" spans="1:18" ht="15" customHeight="1" x14ac:dyDescent="0.35">
      <c r="A36" s="14">
        <v>35</v>
      </c>
      <c r="B36" s="1" t="s">
        <v>244</v>
      </c>
      <c r="D36" s="2">
        <v>7.9</v>
      </c>
      <c r="E36" s="16">
        <v>46142</v>
      </c>
      <c r="F36" s="16">
        <v>46142</v>
      </c>
      <c r="G36" s="17" t="str">
        <f t="shared" si="47"/>
        <v>JUEVES</v>
      </c>
      <c r="H36" s="2" t="s">
        <v>205</v>
      </c>
      <c r="I36" s="5" t="s">
        <v>252</v>
      </c>
      <c r="J36" s="17" t="str">
        <f t="shared" ref="J36" si="50">UPPER(TEXT(F36,"MMMM"))</f>
        <v>ABRIL</v>
      </c>
      <c r="K36" s="18">
        <v>120000</v>
      </c>
      <c r="L36" s="110">
        <f t="shared" ref="L36" si="51">+D36*K36</f>
        <v>948000</v>
      </c>
      <c r="N36" s="1" t="s">
        <v>204</v>
      </c>
      <c r="P36" s="4"/>
      <c r="Q36" s="21">
        <f t="shared" si="43"/>
        <v>0</v>
      </c>
      <c r="R36" s="111"/>
    </row>
    <row r="37" spans="1:18" ht="15" customHeight="1" x14ac:dyDescent="0.35">
      <c r="A37" s="14">
        <v>36</v>
      </c>
      <c r="B37" s="1" t="s">
        <v>245</v>
      </c>
      <c r="D37" s="2">
        <v>10.6</v>
      </c>
      <c r="E37" s="16">
        <v>46143</v>
      </c>
      <c r="F37" s="16">
        <v>46143</v>
      </c>
      <c r="G37" s="17" t="str">
        <f t="shared" ref="G37" si="52">IF(F37="","",UPPER(TEXT(F37,"dddd")))</f>
        <v>VIERNES</v>
      </c>
      <c r="H37" s="2" t="s">
        <v>205</v>
      </c>
      <c r="I37" s="5" t="s">
        <v>252</v>
      </c>
      <c r="J37" s="17" t="str">
        <f t="shared" ref="J37" si="53">UPPER(TEXT(F37,"MMMM"))</f>
        <v>MAYO</v>
      </c>
      <c r="K37" s="18">
        <v>120000</v>
      </c>
      <c r="L37" s="110">
        <f t="shared" ref="L37" si="54">+D37*K37</f>
        <v>1272000</v>
      </c>
      <c r="N37" s="1" t="s">
        <v>204</v>
      </c>
      <c r="P37" s="4"/>
      <c r="Q37" s="21">
        <f t="shared" si="43"/>
        <v>0</v>
      </c>
      <c r="R37" s="111"/>
    </row>
    <row r="38" spans="1:18" ht="15" customHeight="1" x14ac:dyDescent="0.35">
      <c r="A38" s="14">
        <v>37</v>
      </c>
      <c r="B38" s="1" t="s">
        <v>244</v>
      </c>
      <c r="D38" s="2">
        <v>20.5</v>
      </c>
      <c r="E38" s="16">
        <v>46148</v>
      </c>
      <c r="F38" s="16">
        <v>46148</v>
      </c>
      <c r="G38" s="17" t="str">
        <f t="shared" ref="G38" si="55">IF(F38="","",UPPER(TEXT(F38,"dddd")))</f>
        <v>MIÉRCOLES</v>
      </c>
      <c r="H38" s="2" t="s">
        <v>205</v>
      </c>
      <c r="I38" s="5" t="s">
        <v>252</v>
      </c>
      <c r="J38" s="17" t="str">
        <f t="shared" ref="J38" si="56">UPPER(TEXT(F38,"MMMM"))</f>
        <v>MAYO</v>
      </c>
      <c r="K38" s="18">
        <v>120000</v>
      </c>
      <c r="L38" s="110">
        <f t="shared" ref="L38" si="57">+D38*K38</f>
        <v>2460000</v>
      </c>
      <c r="N38" s="1" t="s">
        <v>204</v>
      </c>
      <c r="P38" s="4"/>
      <c r="Q38" s="21">
        <f t="shared" si="43"/>
        <v>0</v>
      </c>
      <c r="R38" s="111"/>
    </row>
    <row r="39" spans="1:18" ht="15" customHeight="1" x14ac:dyDescent="0.35">
      <c r="A39" s="14">
        <v>38</v>
      </c>
      <c r="B39" s="1" t="s">
        <v>245</v>
      </c>
      <c r="D39" s="2">
        <v>10.6</v>
      </c>
      <c r="E39" s="16">
        <v>46148</v>
      </c>
      <c r="F39" s="16">
        <v>46148</v>
      </c>
      <c r="G39" s="17" t="str">
        <f t="shared" ref="G39" si="58">IF(F39="","",UPPER(TEXT(F39,"dddd")))</f>
        <v>MIÉRCOLES</v>
      </c>
      <c r="H39" s="2" t="s">
        <v>205</v>
      </c>
      <c r="I39" s="5" t="s">
        <v>252</v>
      </c>
      <c r="J39" s="17" t="str">
        <f t="shared" ref="J39" si="59">UPPER(TEXT(F39,"MMMM"))</f>
        <v>MAYO</v>
      </c>
      <c r="K39" s="18">
        <v>120000</v>
      </c>
      <c r="L39" s="110">
        <f t="shared" ref="L39" si="60">+D39*K39</f>
        <v>1272000</v>
      </c>
      <c r="N39" s="1" t="s">
        <v>204</v>
      </c>
      <c r="P39" s="4"/>
      <c r="Q39" s="21">
        <f t="shared" si="43"/>
        <v>0</v>
      </c>
      <c r="R39" s="111"/>
    </row>
    <row r="40" spans="1:18" ht="15" customHeight="1" x14ac:dyDescent="0.35">
      <c r="A40" s="14">
        <v>39</v>
      </c>
      <c r="B40" s="1" t="s">
        <v>243</v>
      </c>
      <c r="D40" s="2">
        <v>24.4</v>
      </c>
      <c r="E40" s="16">
        <v>46149</v>
      </c>
      <c r="F40" s="16">
        <v>46149</v>
      </c>
      <c r="G40" s="17" t="str">
        <f t="shared" ref="G40" si="61">IF(F40="","",UPPER(TEXT(F40,"dddd")))</f>
        <v>JUEVES</v>
      </c>
      <c r="H40" s="2" t="s">
        <v>205</v>
      </c>
      <c r="I40" s="5" t="s">
        <v>252</v>
      </c>
      <c r="J40" s="17" t="str">
        <f t="shared" ref="J40" si="62">UPPER(TEXT(F40,"MMMM"))</f>
        <v>MAYO</v>
      </c>
      <c r="K40" s="18">
        <v>120000</v>
      </c>
      <c r="L40" s="110">
        <f t="shared" ref="L40:L41" si="63">+D40*K40</f>
        <v>2928000</v>
      </c>
      <c r="N40" s="1" t="s">
        <v>204</v>
      </c>
      <c r="P40" s="4"/>
      <c r="Q40" s="21">
        <f t="shared" si="43"/>
        <v>0</v>
      </c>
      <c r="R40" s="111"/>
    </row>
    <row r="41" spans="1:18" ht="15" customHeight="1" x14ac:dyDescent="0.35">
      <c r="A41" s="14">
        <v>40</v>
      </c>
      <c r="B41" s="1" t="s">
        <v>253</v>
      </c>
      <c r="D41" s="2">
        <v>27.7</v>
      </c>
      <c r="E41" s="16">
        <v>46156</v>
      </c>
      <c r="F41" s="16">
        <v>46156</v>
      </c>
      <c r="G41" s="17" t="str">
        <f t="shared" ref="G41" si="64">IF(F41="","",UPPER(TEXT(F41,"dddd")))</f>
        <v>JUEVES</v>
      </c>
      <c r="H41" s="2" t="s">
        <v>205</v>
      </c>
      <c r="I41" s="5" t="s">
        <v>252</v>
      </c>
      <c r="J41" s="17" t="str">
        <f t="shared" ref="J41" si="65">UPPER(TEXT(F41,"MMMM"))</f>
        <v>MAYO</v>
      </c>
      <c r="K41" s="18">
        <v>250000</v>
      </c>
      <c r="L41" s="110">
        <f t="shared" si="63"/>
        <v>6925000</v>
      </c>
      <c r="N41" s="1" t="s">
        <v>204</v>
      </c>
      <c r="P41" s="4"/>
      <c r="Q41" s="21">
        <f t="shared" si="43"/>
        <v>0</v>
      </c>
      <c r="R41" s="111"/>
    </row>
    <row r="42" spans="1:18" ht="15" customHeight="1" x14ac:dyDescent="0.35">
      <c r="A42" s="14">
        <v>41</v>
      </c>
      <c r="B42" s="1" t="s">
        <v>254</v>
      </c>
      <c r="D42" s="2">
        <v>3</v>
      </c>
      <c r="E42" s="16">
        <v>46156</v>
      </c>
      <c r="F42" s="16">
        <v>46156</v>
      </c>
      <c r="G42" s="17" t="str">
        <f t="shared" ref="G42" si="66">IF(F42="","",UPPER(TEXT(F42,"dddd")))</f>
        <v>JUEVES</v>
      </c>
      <c r="H42" s="2" t="s">
        <v>205</v>
      </c>
      <c r="I42" s="5" t="s">
        <v>252</v>
      </c>
      <c r="J42" s="17" t="str">
        <f t="shared" ref="J42" si="67">UPPER(TEXT(F42,"MMMM"))</f>
        <v>MAYO</v>
      </c>
      <c r="K42" s="18">
        <v>250000</v>
      </c>
      <c r="L42" s="110">
        <f t="shared" ref="L42" si="68">+D42*K42</f>
        <v>750000</v>
      </c>
      <c r="N42" s="1" t="s">
        <v>204</v>
      </c>
      <c r="P42" s="4"/>
      <c r="Q42" s="21">
        <f t="shared" si="43"/>
        <v>0</v>
      </c>
      <c r="R42" s="111"/>
    </row>
    <row r="43" spans="1:18" ht="15" customHeight="1" x14ac:dyDescent="0.35">
      <c r="A43" s="14">
        <v>42</v>
      </c>
      <c r="B43" s="1" t="s">
        <v>255</v>
      </c>
      <c r="D43" s="2">
        <v>4.5</v>
      </c>
      <c r="E43" s="16">
        <v>46161</v>
      </c>
      <c r="F43" s="16">
        <v>46161</v>
      </c>
      <c r="G43" s="17" t="str">
        <f t="shared" ref="G43" si="69">IF(F43="","",UPPER(TEXT(F43,"dddd")))</f>
        <v>MARTES</v>
      </c>
      <c r="H43" s="2" t="s">
        <v>205</v>
      </c>
      <c r="I43" s="5" t="s">
        <v>252</v>
      </c>
      <c r="J43" s="17" t="str">
        <f t="shared" ref="J43" si="70">UPPER(TEXT(F43,"MMMM"))</f>
        <v>MAYO</v>
      </c>
      <c r="K43" s="18">
        <v>250000</v>
      </c>
      <c r="L43" s="110">
        <f t="shared" ref="L43" si="71">+D43*K43</f>
        <v>1125000</v>
      </c>
      <c r="N43" s="1" t="s">
        <v>204</v>
      </c>
      <c r="P43" s="4"/>
      <c r="Q43" s="21">
        <f t="shared" si="43"/>
        <v>0</v>
      </c>
      <c r="R43" s="111"/>
    </row>
    <row r="44" spans="1:18" ht="15" customHeight="1" x14ac:dyDescent="0.35">
      <c r="A44" s="14">
        <v>43</v>
      </c>
      <c r="B44" s="1" t="s">
        <v>255</v>
      </c>
      <c r="D44" s="2">
        <v>5.84</v>
      </c>
      <c r="E44" s="16">
        <v>46161</v>
      </c>
      <c r="F44" s="16">
        <v>46161</v>
      </c>
      <c r="G44" s="17" t="str">
        <f t="shared" ref="G44" si="72">IF(F44="","",UPPER(TEXT(F44,"dddd")))</f>
        <v>MARTES</v>
      </c>
      <c r="H44" s="2" t="s">
        <v>205</v>
      </c>
      <c r="I44" s="5" t="s">
        <v>252</v>
      </c>
      <c r="J44" s="17" t="str">
        <f t="shared" ref="J44" si="73">UPPER(TEXT(F44,"MMMM"))</f>
        <v>MAYO</v>
      </c>
      <c r="K44" s="18">
        <v>280000</v>
      </c>
      <c r="L44" s="110">
        <f t="shared" ref="L44" si="74">+D44*K44</f>
        <v>1635200</v>
      </c>
      <c r="N44" s="1" t="s">
        <v>204</v>
      </c>
      <c r="P44" s="4"/>
      <c r="Q44" s="21">
        <f t="shared" si="43"/>
        <v>0</v>
      </c>
      <c r="R44" s="111"/>
    </row>
    <row r="45" spans="1:18" ht="15" customHeight="1" x14ac:dyDescent="0.35">
      <c r="A45" s="14">
        <v>44</v>
      </c>
      <c r="B45" s="1" t="s">
        <v>255</v>
      </c>
      <c r="D45" s="2">
        <v>13.75</v>
      </c>
      <c r="E45" s="16">
        <v>46162</v>
      </c>
      <c r="F45" s="16">
        <v>46162</v>
      </c>
      <c r="G45" s="17" t="str">
        <f t="shared" ref="G45" si="75">IF(F45="","",UPPER(TEXT(F45,"dddd")))</f>
        <v>MIÉRCOLES</v>
      </c>
      <c r="H45" s="2" t="s">
        <v>205</v>
      </c>
      <c r="I45" s="5" t="s">
        <v>252</v>
      </c>
      <c r="J45" s="17" t="str">
        <f t="shared" ref="J45" si="76">UPPER(TEXT(F45,"MMMM"))</f>
        <v>MAYO</v>
      </c>
      <c r="K45" s="18">
        <v>280000</v>
      </c>
      <c r="L45" s="110">
        <f t="shared" ref="L45" si="77">+D45*K45</f>
        <v>3850000</v>
      </c>
      <c r="N45" s="1" t="s">
        <v>204</v>
      </c>
      <c r="P45" s="4"/>
      <c r="Q45" s="21">
        <f t="shared" si="43"/>
        <v>0</v>
      </c>
      <c r="R45" s="111"/>
    </row>
    <row r="46" spans="1:18" ht="15" customHeight="1" x14ac:dyDescent="0.35">
      <c r="A46" s="14">
        <v>45</v>
      </c>
      <c r="B46" s="1" t="s">
        <v>255</v>
      </c>
      <c r="D46" s="2">
        <v>1.6</v>
      </c>
      <c r="E46" s="16">
        <v>46163</v>
      </c>
      <c r="F46" s="16">
        <v>46163</v>
      </c>
      <c r="G46" s="17" t="str">
        <f t="shared" ref="G46" si="78">IF(F46="","",UPPER(TEXT(F46,"dddd")))</f>
        <v>JUEVES</v>
      </c>
      <c r="H46" s="2" t="s">
        <v>205</v>
      </c>
      <c r="I46" s="5" t="s">
        <v>252</v>
      </c>
      <c r="J46" s="17" t="str">
        <f t="shared" ref="J46" si="79">UPPER(TEXT(F46,"MMMM"))</f>
        <v>MAYO</v>
      </c>
      <c r="K46" s="18">
        <v>280000</v>
      </c>
      <c r="L46" s="110">
        <f t="shared" ref="L46" si="80">+D46*K46</f>
        <v>448000</v>
      </c>
      <c r="N46" s="1" t="s">
        <v>204</v>
      </c>
      <c r="P46" s="4"/>
      <c r="Q46" s="21">
        <f t="shared" si="43"/>
        <v>0</v>
      </c>
      <c r="R46" s="111"/>
    </row>
    <row r="47" spans="1:18" ht="15" customHeight="1" x14ac:dyDescent="0.35">
      <c r="A47" s="14">
        <v>46</v>
      </c>
      <c r="B47" s="1" t="s">
        <v>255</v>
      </c>
      <c r="D47" s="2">
        <v>6.7</v>
      </c>
      <c r="E47" s="16">
        <v>46163</v>
      </c>
      <c r="F47" s="16">
        <v>46163</v>
      </c>
      <c r="G47" s="17" t="str">
        <f t="shared" ref="G47" si="81">IF(F47="","",UPPER(TEXT(F47,"dddd")))</f>
        <v>JUEVES</v>
      </c>
      <c r="H47" s="2" t="s">
        <v>205</v>
      </c>
      <c r="I47" s="5" t="s">
        <v>252</v>
      </c>
      <c r="J47" s="17" t="str">
        <f t="shared" ref="J47" si="82">UPPER(TEXT(F47,"MMMM"))</f>
        <v>MAYO</v>
      </c>
      <c r="K47" s="18">
        <v>280000</v>
      </c>
      <c r="L47" s="110">
        <f t="shared" ref="L47" si="83">+D47*K47</f>
        <v>1876000</v>
      </c>
      <c r="N47" s="1" t="s">
        <v>204</v>
      </c>
      <c r="P47" s="4"/>
      <c r="Q47" s="21">
        <f t="shared" ref="Q47:Q48" si="84">(P47-O47)*24</f>
        <v>0</v>
      </c>
      <c r="R47" s="111"/>
    </row>
    <row r="48" spans="1:18" ht="15" customHeight="1" x14ac:dyDescent="0.35">
      <c r="A48" s="14">
        <v>47</v>
      </c>
      <c r="B48" s="1" t="s">
        <v>255</v>
      </c>
      <c r="D48" s="2">
        <v>4.5999999999999996</v>
      </c>
      <c r="E48" s="16">
        <v>46163</v>
      </c>
      <c r="F48" s="16">
        <v>46163</v>
      </c>
      <c r="G48" s="17" t="str">
        <f t="shared" ref="G48:G49" si="85">IF(F48="","",UPPER(TEXT(F48,"dddd")))</f>
        <v>JUEVES</v>
      </c>
      <c r="H48" s="2" t="s">
        <v>205</v>
      </c>
      <c r="I48" s="5" t="s">
        <v>252</v>
      </c>
      <c r="J48" s="17" t="str">
        <f t="shared" ref="J48" si="86">UPPER(TEXT(F48,"MMMM"))</f>
        <v>MAYO</v>
      </c>
      <c r="K48" s="18">
        <v>280000</v>
      </c>
      <c r="L48" s="110">
        <f t="shared" ref="L48" si="87">+D48*K48</f>
        <v>1288000</v>
      </c>
      <c r="N48" s="1" t="s">
        <v>204</v>
      </c>
      <c r="P48" s="4"/>
      <c r="Q48" s="21">
        <f t="shared" si="84"/>
        <v>0</v>
      </c>
      <c r="R48" s="111"/>
    </row>
    <row r="49" spans="1:18" ht="15" customHeight="1" x14ac:dyDescent="0.35">
      <c r="A49" s="14">
        <v>48</v>
      </c>
      <c r="B49" s="1" t="s">
        <v>255</v>
      </c>
      <c r="D49" s="2">
        <v>8.6</v>
      </c>
      <c r="E49" s="16">
        <v>46164</v>
      </c>
      <c r="F49" s="16">
        <v>46164</v>
      </c>
      <c r="G49" s="17" t="str">
        <f t="shared" si="85"/>
        <v>VIERNES</v>
      </c>
      <c r="H49" s="2" t="s">
        <v>205</v>
      </c>
      <c r="I49" s="5" t="s">
        <v>252</v>
      </c>
      <c r="J49" s="17" t="str">
        <f t="shared" ref="J49" si="88">UPPER(TEXT(F49,"MMMM"))</f>
        <v>MAYO</v>
      </c>
      <c r="K49" s="18">
        <v>250000</v>
      </c>
      <c r="L49" s="110">
        <f t="shared" ref="L49" si="89">+D49*K49</f>
        <v>2150000</v>
      </c>
      <c r="N49" s="1" t="s">
        <v>204</v>
      </c>
      <c r="P49" s="4"/>
      <c r="Q49" s="21">
        <f t="shared" ref="Q49:Q52" si="90">(P49-O49)*24</f>
        <v>0</v>
      </c>
      <c r="R49" s="111"/>
    </row>
    <row r="50" spans="1:18" ht="15" customHeight="1" x14ac:dyDescent="0.35">
      <c r="A50" s="14">
        <v>49</v>
      </c>
      <c r="B50" s="1" t="s">
        <v>256</v>
      </c>
      <c r="D50" s="2">
        <v>18.7</v>
      </c>
      <c r="E50" s="16">
        <v>46167</v>
      </c>
      <c r="F50" s="16">
        <v>46169</v>
      </c>
      <c r="G50" s="17" t="str">
        <f t="shared" ref="G50" si="91">IF(F50="","",UPPER(TEXT(F50,"dddd")))</f>
        <v>MIÉRCOLES</v>
      </c>
      <c r="H50" s="2" t="s">
        <v>205</v>
      </c>
      <c r="I50" s="5" t="s">
        <v>252</v>
      </c>
      <c r="J50" s="17" t="str">
        <f t="shared" ref="J50" si="92">UPPER(TEXT(F50,"MMMM"))</f>
        <v>MAYO</v>
      </c>
      <c r="K50" s="18">
        <v>150000</v>
      </c>
      <c r="L50" s="110">
        <f t="shared" ref="L50" si="93">+D50*K50</f>
        <v>2805000</v>
      </c>
      <c r="N50" s="1" t="s">
        <v>204</v>
      </c>
      <c r="P50" s="4"/>
      <c r="Q50" s="21">
        <f t="shared" ref="Q50" si="94">(P50-O50)*24</f>
        <v>0</v>
      </c>
      <c r="R50" s="111"/>
    </row>
    <row r="51" spans="1:18" ht="15" customHeight="1" x14ac:dyDescent="0.35">
      <c r="A51" s="14">
        <v>50</v>
      </c>
      <c r="B51" s="1" t="s">
        <v>256</v>
      </c>
      <c r="D51" s="2">
        <v>13.5</v>
      </c>
      <c r="E51" s="16">
        <v>46168</v>
      </c>
      <c r="F51" s="16">
        <v>46169</v>
      </c>
      <c r="G51" s="17" t="str">
        <f t="shared" ref="G51" si="95">IF(F51="","",UPPER(TEXT(F51,"dddd")))</f>
        <v>MIÉRCOLES</v>
      </c>
      <c r="H51" s="2" t="s">
        <v>205</v>
      </c>
      <c r="I51" s="5" t="s">
        <v>252</v>
      </c>
      <c r="J51" s="17" t="str">
        <f t="shared" ref="J51" si="96">UPPER(TEXT(F51,"MMMM"))</f>
        <v>MAYO</v>
      </c>
      <c r="K51" s="18">
        <v>150000</v>
      </c>
      <c r="L51" s="110">
        <f t="shared" ref="L51" si="97">+D51*K51</f>
        <v>2025000</v>
      </c>
      <c r="N51" s="1" t="s">
        <v>204</v>
      </c>
      <c r="P51" s="4"/>
      <c r="Q51" s="21">
        <f t="shared" si="90"/>
        <v>0</v>
      </c>
      <c r="R51" s="111"/>
    </row>
    <row r="52" spans="1:18" ht="15" customHeight="1" x14ac:dyDescent="0.35">
      <c r="A52" s="14">
        <v>51</v>
      </c>
      <c r="B52" s="1" t="s">
        <v>256</v>
      </c>
      <c r="D52" s="2">
        <v>15.3</v>
      </c>
      <c r="E52" s="16">
        <v>46170</v>
      </c>
      <c r="F52" s="16">
        <v>46170</v>
      </c>
      <c r="G52" s="17" t="str">
        <f t="shared" ref="G52" si="98">IF(F52="","",UPPER(TEXT(F52,"dddd")))</f>
        <v>JUEVES</v>
      </c>
      <c r="H52" s="2" t="s">
        <v>205</v>
      </c>
      <c r="I52" s="5" t="s">
        <v>252</v>
      </c>
      <c r="J52" s="17" t="str">
        <f t="shared" ref="J52" si="99">UPPER(TEXT(F52,"MMMM"))</f>
        <v>MAYO</v>
      </c>
      <c r="K52" s="18">
        <v>150000</v>
      </c>
      <c r="L52" s="110">
        <f t="shared" ref="L52" si="100">+D52*K52</f>
        <v>2295000</v>
      </c>
      <c r="N52" s="1" t="s">
        <v>204</v>
      </c>
      <c r="P52" s="4"/>
      <c r="Q52" s="21">
        <f t="shared" si="90"/>
        <v>0</v>
      </c>
      <c r="R52" s="111"/>
    </row>
    <row r="53" spans="1:18" ht="15" customHeight="1" x14ac:dyDescent="0.35">
      <c r="A53" s="14">
        <v>52</v>
      </c>
      <c r="B53" s="1" t="s">
        <v>256</v>
      </c>
      <c r="D53" s="2">
        <v>12</v>
      </c>
      <c r="E53" s="16">
        <v>46171</v>
      </c>
      <c r="F53" s="16">
        <v>46171</v>
      </c>
      <c r="G53" s="17" t="str">
        <f t="shared" ref="G53" si="101">IF(F53="","",UPPER(TEXT(F53,"dddd")))</f>
        <v>VIERNES</v>
      </c>
      <c r="H53" s="2" t="s">
        <v>205</v>
      </c>
      <c r="I53" s="5" t="s">
        <v>252</v>
      </c>
      <c r="J53" s="17" t="str">
        <f t="shared" ref="J53" si="102">UPPER(TEXT(F53,"MMMM"))</f>
        <v>MAYO</v>
      </c>
      <c r="K53" s="18">
        <v>150000</v>
      </c>
      <c r="L53" s="110">
        <f t="shared" ref="L53" si="103">+D53*K53</f>
        <v>1800000</v>
      </c>
      <c r="N53" s="1" t="s">
        <v>204</v>
      </c>
      <c r="P53" s="4"/>
      <c r="Q53" s="21">
        <f t="shared" ref="Q53:Q65" si="104">(P53-O53)*24</f>
        <v>0</v>
      </c>
      <c r="R53" s="111"/>
    </row>
    <row r="54" spans="1:18" ht="15" customHeight="1" x14ac:dyDescent="0.35">
      <c r="A54" s="14">
        <v>53</v>
      </c>
      <c r="B54" s="1" t="s">
        <v>257</v>
      </c>
      <c r="D54" s="2">
        <v>3.2</v>
      </c>
      <c r="E54" s="16">
        <v>46172</v>
      </c>
      <c r="F54" s="16">
        <v>46172</v>
      </c>
      <c r="G54" s="17" t="str">
        <f t="shared" ref="G54" si="105">IF(F54="","",UPPER(TEXT(F54,"dddd")))</f>
        <v>SÁBADO</v>
      </c>
      <c r="H54" s="2" t="s">
        <v>205</v>
      </c>
      <c r="I54" s="5" t="s">
        <v>252</v>
      </c>
      <c r="J54" s="17" t="str">
        <f t="shared" ref="J54" si="106">UPPER(TEXT(F54,"MMMM"))</f>
        <v>MAYO</v>
      </c>
      <c r="K54" s="18">
        <v>250000</v>
      </c>
      <c r="L54" s="110">
        <f t="shared" ref="L54" si="107">+D54*K54</f>
        <v>800000</v>
      </c>
      <c r="N54" s="1" t="s">
        <v>204</v>
      </c>
      <c r="P54" s="4"/>
      <c r="Q54" s="21">
        <f t="shared" si="104"/>
        <v>0</v>
      </c>
      <c r="R54" s="111"/>
    </row>
    <row r="55" spans="1:18" ht="15" customHeight="1" x14ac:dyDescent="0.35">
      <c r="A55" s="14">
        <v>53</v>
      </c>
      <c r="B55" s="1" t="s">
        <v>258</v>
      </c>
      <c r="D55" s="2">
        <v>4.3</v>
      </c>
      <c r="E55" s="16">
        <v>46172</v>
      </c>
      <c r="F55" s="16">
        <v>46172</v>
      </c>
      <c r="G55" s="17" t="str">
        <f t="shared" ref="G55" si="108">IF(F55="","",UPPER(TEXT(F55,"dddd")))</f>
        <v>SÁBADO</v>
      </c>
      <c r="H55" s="2" t="s">
        <v>205</v>
      </c>
      <c r="I55" s="5" t="s">
        <v>252</v>
      </c>
      <c r="J55" s="17" t="str">
        <f t="shared" ref="J55" si="109">UPPER(TEXT(F55,"MMMM"))</f>
        <v>MAYO</v>
      </c>
      <c r="K55" s="18">
        <v>250000</v>
      </c>
      <c r="L55" s="110">
        <f t="shared" ref="L55" si="110">+D55*K55</f>
        <v>1075000</v>
      </c>
      <c r="N55" s="1" t="s">
        <v>204</v>
      </c>
      <c r="P55" s="4"/>
      <c r="Q55" s="21">
        <f t="shared" ref="Q55" si="111">(P55-O55)*24</f>
        <v>0</v>
      </c>
      <c r="R55" s="111"/>
    </row>
    <row r="56" spans="1:18" ht="15" customHeight="1" x14ac:dyDescent="0.35">
      <c r="A56" s="129">
        <v>54</v>
      </c>
      <c r="B56" s="1" t="s">
        <v>260</v>
      </c>
      <c r="D56" s="2">
        <v>5.3</v>
      </c>
      <c r="E56" s="16">
        <v>46176</v>
      </c>
      <c r="F56" s="16">
        <v>46180</v>
      </c>
      <c r="G56" s="17" t="str">
        <f t="shared" ref="G56" si="112">IF(F56="","",UPPER(TEXT(F56,"dddd")))</f>
        <v>DOMINGO</v>
      </c>
      <c r="H56" s="2" t="s">
        <v>205</v>
      </c>
      <c r="I56" s="5" t="s">
        <v>252</v>
      </c>
      <c r="J56" s="17" t="str">
        <f t="shared" ref="J56" si="113">UPPER(TEXT(F56,"MMMM"))</f>
        <v>JUNIO</v>
      </c>
      <c r="K56" s="18">
        <v>180000</v>
      </c>
      <c r="L56" s="110">
        <f t="shared" ref="L56" si="114">+D56*K56</f>
        <v>954000</v>
      </c>
      <c r="N56" s="1" t="s">
        <v>204</v>
      </c>
      <c r="P56" s="4"/>
      <c r="Q56" s="21">
        <f t="shared" si="104"/>
        <v>0</v>
      </c>
      <c r="R56" s="111"/>
    </row>
    <row r="57" spans="1:18" ht="15" customHeight="1" x14ac:dyDescent="0.35">
      <c r="A57" s="129">
        <v>54</v>
      </c>
      <c r="B57" s="1" t="s">
        <v>260</v>
      </c>
      <c r="D57" s="2">
        <v>1</v>
      </c>
      <c r="E57" s="16">
        <v>46176</v>
      </c>
      <c r="F57" s="16">
        <v>46180</v>
      </c>
      <c r="G57" s="17" t="str">
        <f t="shared" ref="G57:G58" si="115">IF(F57="","",UPPER(TEXT(F57,"dddd")))</f>
        <v>DOMINGO</v>
      </c>
      <c r="H57" s="2" t="s">
        <v>205</v>
      </c>
      <c r="I57" s="5" t="s">
        <v>252</v>
      </c>
      <c r="J57" s="17" t="str">
        <f t="shared" ref="J57:J58" si="116">UPPER(TEXT(F57,"MMMM"))</f>
        <v>JUNIO</v>
      </c>
      <c r="K57" s="18">
        <v>210000</v>
      </c>
      <c r="L57" s="110">
        <f t="shared" ref="L57:L58" si="117">+D57*K57</f>
        <v>210000</v>
      </c>
      <c r="N57" s="1" t="s">
        <v>204</v>
      </c>
      <c r="P57" s="4"/>
      <c r="Q57" s="21">
        <f t="shared" ref="Q57:Q58" si="118">(P57-O57)*24</f>
        <v>0</v>
      </c>
      <c r="R57" s="111"/>
    </row>
    <row r="58" spans="1:18" ht="15" customHeight="1" x14ac:dyDescent="0.35">
      <c r="A58" s="129">
        <v>54</v>
      </c>
      <c r="B58" s="1" t="s">
        <v>261</v>
      </c>
      <c r="D58" s="2">
        <v>3.4</v>
      </c>
      <c r="E58" s="16">
        <v>46176</v>
      </c>
      <c r="F58" s="16">
        <v>46180</v>
      </c>
      <c r="G58" s="17" t="str">
        <f t="shared" si="115"/>
        <v>DOMINGO</v>
      </c>
      <c r="H58" s="2" t="s">
        <v>205</v>
      </c>
      <c r="I58" s="5" t="s">
        <v>252</v>
      </c>
      <c r="J58" s="17" t="str">
        <f t="shared" si="116"/>
        <v>JUNIO</v>
      </c>
      <c r="K58" s="18">
        <v>180000</v>
      </c>
      <c r="L58" s="110">
        <f t="shared" si="117"/>
        <v>612000</v>
      </c>
      <c r="N58" s="1" t="s">
        <v>204</v>
      </c>
      <c r="P58" s="4"/>
      <c r="Q58" s="21">
        <f t="shared" si="118"/>
        <v>0</v>
      </c>
      <c r="R58" s="111"/>
    </row>
    <row r="59" spans="1:18" ht="15" customHeight="1" x14ac:dyDescent="0.35">
      <c r="A59" s="129">
        <v>54</v>
      </c>
      <c r="B59" s="1" t="s">
        <v>261</v>
      </c>
      <c r="D59" s="2">
        <v>1</v>
      </c>
      <c r="E59" s="16">
        <v>46176</v>
      </c>
      <c r="F59" s="16">
        <v>46180</v>
      </c>
      <c r="G59" s="17" t="str">
        <f t="shared" ref="G59:G60" si="119">IF(F59="","",UPPER(TEXT(F59,"dddd")))</f>
        <v>DOMINGO</v>
      </c>
      <c r="H59" s="2" t="s">
        <v>205</v>
      </c>
      <c r="I59" s="5" t="s">
        <v>252</v>
      </c>
      <c r="J59" s="17" t="str">
        <f t="shared" ref="J59:J60" si="120">UPPER(TEXT(F59,"MMMM"))</f>
        <v>JUNIO</v>
      </c>
      <c r="K59" s="18">
        <v>210000</v>
      </c>
      <c r="L59" s="110">
        <f t="shared" ref="L59:L60" si="121">+D59*K59</f>
        <v>210000</v>
      </c>
      <c r="N59" s="1" t="s">
        <v>204</v>
      </c>
      <c r="P59" s="4"/>
      <c r="Q59" s="21">
        <f t="shared" ref="Q59:Q60" si="122">(P59-O59)*24</f>
        <v>0</v>
      </c>
      <c r="R59" s="111"/>
    </row>
    <row r="60" spans="1:18" ht="15" customHeight="1" x14ac:dyDescent="0.35">
      <c r="A60" s="129"/>
      <c r="B60" s="1" t="s">
        <v>262</v>
      </c>
      <c r="D60" s="2">
        <v>7</v>
      </c>
      <c r="E60" s="16">
        <v>46176</v>
      </c>
      <c r="F60" s="16">
        <v>46180</v>
      </c>
      <c r="G60" s="17" t="str">
        <f t="shared" si="119"/>
        <v>DOMINGO</v>
      </c>
      <c r="H60" s="2" t="s">
        <v>205</v>
      </c>
      <c r="I60" s="5" t="s">
        <v>252</v>
      </c>
      <c r="J60" s="17" t="str">
        <f t="shared" si="120"/>
        <v>JUNIO</v>
      </c>
      <c r="K60" s="18">
        <v>180000</v>
      </c>
      <c r="L60" s="110">
        <f t="shared" si="121"/>
        <v>1260000</v>
      </c>
      <c r="N60" s="1" t="s">
        <v>204</v>
      </c>
      <c r="P60" s="4"/>
      <c r="Q60" s="21">
        <f t="shared" si="122"/>
        <v>0</v>
      </c>
      <c r="R60" s="111"/>
    </row>
    <row r="61" spans="1:18" ht="15" customHeight="1" x14ac:dyDescent="0.35">
      <c r="A61" s="129"/>
      <c r="B61" s="1" t="s">
        <v>262</v>
      </c>
      <c r="D61" s="2">
        <v>1</v>
      </c>
      <c r="E61" s="16">
        <v>46176</v>
      </c>
      <c r="F61" s="16">
        <v>46180</v>
      </c>
      <c r="G61" s="17" t="str">
        <f t="shared" ref="G61" si="123">IF(F61="","",UPPER(TEXT(F61,"dddd")))</f>
        <v>DOMINGO</v>
      </c>
      <c r="H61" s="2" t="s">
        <v>205</v>
      </c>
      <c r="I61" s="5" t="s">
        <v>252</v>
      </c>
      <c r="J61" s="17" t="str">
        <f t="shared" ref="J61" si="124">UPPER(TEXT(F61,"MMMM"))</f>
        <v>JUNIO</v>
      </c>
      <c r="K61" s="18">
        <v>210000</v>
      </c>
      <c r="L61" s="110">
        <f t="shared" ref="L61" si="125">+D61*K61</f>
        <v>210000</v>
      </c>
      <c r="N61" s="1" t="s">
        <v>204</v>
      </c>
      <c r="P61" s="4"/>
      <c r="Q61" s="21">
        <f t="shared" ref="Q61" si="126">(P61-O61)*24</f>
        <v>0</v>
      </c>
      <c r="R61" s="111"/>
    </row>
    <row r="62" spans="1:18" ht="15" customHeight="1" x14ac:dyDescent="0.35">
      <c r="A62" s="129"/>
      <c r="B62" s="1" t="s">
        <v>263</v>
      </c>
      <c r="D62" s="2">
        <v>5</v>
      </c>
      <c r="E62" s="16">
        <v>46176</v>
      </c>
      <c r="F62" s="16">
        <v>46180</v>
      </c>
      <c r="G62" s="17" t="str">
        <f t="shared" ref="G62" si="127">IF(F62="","",UPPER(TEXT(F62,"dddd")))</f>
        <v>DOMINGO</v>
      </c>
      <c r="H62" s="2" t="s">
        <v>205</v>
      </c>
      <c r="I62" s="5" t="s">
        <v>252</v>
      </c>
      <c r="J62" s="17" t="str">
        <f t="shared" ref="J62" si="128">UPPER(TEXT(F62,"MMMM"))</f>
        <v>JUNIO</v>
      </c>
      <c r="K62" s="18">
        <v>280000</v>
      </c>
      <c r="L62" s="110">
        <f t="shared" ref="L62" si="129">+D62*K62</f>
        <v>1400000</v>
      </c>
      <c r="N62" s="1" t="s">
        <v>204</v>
      </c>
      <c r="P62" s="4"/>
      <c r="Q62" s="21">
        <f t="shared" ref="Q62" si="130">(P62-O62)*24</f>
        <v>0</v>
      </c>
      <c r="R62" s="111"/>
    </row>
    <row r="63" spans="1:18" ht="15" customHeight="1" x14ac:dyDescent="0.35">
      <c r="A63" s="129"/>
      <c r="B63" s="1" t="s">
        <v>264</v>
      </c>
      <c r="D63" s="2">
        <v>1.8</v>
      </c>
      <c r="E63" s="16">
        <v>46176</v>
      </c>
      <c r="F63" s="16">
        <v>46180</v>
      </c>
      <c r="G63" s="17" t="str">
        <f t="shared" ref="G63:G64" si="131">IF(F63="","",UPPER(TEXT(F63,"dddd")))</f>
        <v>DOMINGO</v>
      </c>
      <c r="H63" s="2" t="s">
        <v>205</v>
      </c>
      <c r="I63" s="5" t="s">
        <v>252</v>
      </c>
      <c r="J63" s="17" t="str">
        <f t="shared" ref="J63:J64" si="132">UPPER(TEXT(F63,"MMMM"))</f>
        <v>JUNIO</v>
      </c>
      <c r="K63" s="18">
        <v>250000</v>
      </c>
      <c r="L63" s="110">
        <f t="shared" ref="L63:L64" si="133">+D63*K63</f>
        <v>450000</v>
      </c>
      <c r="N63" s="1" t="s">
        <v>204</v>
      </c>
      <c r="P63" s="4"/>
      <c r="Q63" s="21">
        <f t="shared" ref="Q63:Q64" si="134">(P63-O63)*24</f>
        <v>0</v>
      </c>
      <c r="R63" s="111"/>
    </row>
    <row r="64" spans="1:18" ht="15" customHeight="1" x14ac:dyDescent="0.35">
      <c r="A64" s="129"/>
      <c r="B64" s="1" t="s">
        <v>264</v>
      </c>
      <c r="D64" s="2">
        <v>18.7</v>
      </c>
      <c r="E64" s="16">
        <v>46176</v>
      </c>
      <c r="F64" s="16">
        <v>46180</v>
      </c>
      <c r="G64" s="17" t="str">
        <f t="shared" si="131"/>
        <v>DOMINGO</v>
      </c>
      <c r="H64" s="2" t="s">
        <v>205</v>
      </c>
      <c r="I64" s="5" t="s">
        <v>252</v>
      </c>
      <c r="J64" s="17" t="str">
        <f t="shared" si="132"/>
        <v>JUNIO</v>
      </c>
      <c r="K64" s="18">
        <v>280000</v>
      </c>
      <c r="L64" s="110">
        <f t="shared" si="133"/>
        <v>5236000</v>
      </c>
      <c r="N64" s="1" t="s">
        <v>204</v>
      </c>
      <c r="P64" s="4"/>
      <c r="Q64" s="21">
        <f t="shared" si="134"/>
        <v>0</v>
      </c>
      <c r="R64" s="111"/>
    </row>
    <row r="65" spans="1:18" ht="15" customHeight="1" x14ac:dyDescent="0.35">
      <c r="A65" s="129">
        <v>55</v>
      </c>
      <c r="B65" s="1" t="s">
        <v>259</v>
      </c>
      <c r="D65" s="2">
        <v>147.19999999999999</v>
      </c>
      <c r="E65" s="16">
        <v>46183</v>
      </c>
      <c r="F65" s="130">
        <f>+Programacion_2026[[#This Row],[FECHAPROGRAMACIÓN]]+10</f>
        <v>46193</v>
      </c>
      <c r="G65" s="17" t="str">
        <f t="shared" ref="G65" si="135">IF(F65="","",UPPER(TEXT(F65,"dddd")))</f>
        <v>SÁBADO</v>
      </c>
      <c r="H65" s="2" t="s">
        <v>205</v>
      </c>
      <c r="I65" s="5" t="s">
        <v>252</v>
      </c>
      <c r="J65" s="17" t="str">
        <f t="shared" ref="J65" si="136">UPPER(TEXT(F65,"MMMM"))</f>
        <v>JUNIO</v>
      </c>
      <c r="K65" s="18">
        <v>120000</v>
      </c>
      <c r="L65" s="110">
        <f t="shared" ref="L65" si="137">+D65*K65</f>
        <v>17664000</v>
      </c>
      <c r="N65" s="1" t="s">
        <v>204</v>
      </c>
      <c r="P65" s="4"/>
      <c r="Q65" s="21">
        <f t="shared" si="104"/>
        <v>0</v>
      </c>
      <c r="R65" s="111"/>
    </row>
    <row r="66" spans="1:18" ht="15" customHeight="1" x14ac:dyDescent="0.35">
      <c r="A66" s="129">
        <v>55</v>
      </c>
      <c r="B66" s="1" t="s">
        <v>259</v>
      </c>
      <c r="D66" s="2">
        <v>158.9</v>
      </c>
      <c r="E66" s="16">
        <v>46206</v>
      </c>
      <c r="F66" s="16">
        <v>46206</v>
      </c>
      <c r="G66" s="17" t="str">
        <f t="shared" ref="G66:G68" si="138">IF(F66="","",UPPER(TEXT(F66,"dddd")))</f>
        <v>VIERNES</v>
      </c>
      <c r="H66" s="2" t="s">
        <v>205</v>
      </c>
      <c r="I66" s="5" t="s">
        <v>252</v>
      </c>
      <c r="J66" s="17" t="str">
        <f t="shared" ref="J66:J68" si="139">UPPER(TEXT(F66,"MMMM"))</f>
        <v>JULIO</v>
      </c>
      <c r="K66" s="18">
        <v>120000</v>
      </c>
      <c r="L66" s="110">
        <f t="shared" ref="L66:L68" si="140">+D66*K66</f>
        <v>19068000</v>
      </c>
      <c r="N66" s="1" t="s">
        <v>204</v>
      </c>
      <c r="P66" s="4"/>
      <c r="Q66" s="21">
        <f t="shared" ref="Q66:Q68" si="141">(P66-O66)*24</f>
        <v>0</v>
      </c>
      <c r="R66" s="111"/>
    </row>
    <row r="67" spans="1:18" ht="15" customHeight="1" x14ac:dyDescent="0.35">
      <c r="A67" s="129">
        <v>55</v>
      </c>
      <c r="B67" s="133" t="s">
        <v>265</v>
      </c>
      <c r="D67" s="2">
        <v>8.6</v>
      </c>
      <c r="E67" s="16">
        <v>46183</v>
      </c>
      <c r="F67" s="130">
        <f>+Programacion_2026[[#This Row],[FECHAPROGRAMACIÓN]]+10</f>
        <v>46193</v>
      </c>
      <c r="G67" s="17" t="str">
        <f t="shared" si="138"/>
        <v>SÁBADO</v>
      </c>
      <c r="H67" s="2" t="s">
        <v>205</v>
      </c>
      <c r="I67" s="5" t="s">
        <v>252</v>
      </c>
      <c r="J67" s="17" t="str">
        <f t="shared" si="139"/>
        <v>JUNIO</v>
      </c>
      <c r="K67" s="18">
        <v>250000</v>
      </c>
      <c r="L67" s="110">
        <f t="shared" si="140"/>
        <v>2150000</v>
      </c>
      <c r="N67" s="1" t="s">
        <v>204</v>
      </c>
      <c r="P67" s="4"/>
      <c r="Q67" s="21">
        <f t="shared" si="141"/>
        <v>0</v>
      </c>
      <c r="R67" s="111"/>
    </row>
    <row r="68" spans="1:18" ht="15" customHeight="1" x14ac:dyDescent="0.35">
      <c r="A68" s="129">
        <v>55</v>
      </c>
      <c r="B68" s="133" t="s">
        <v>266</v>
      </c>
      <c r="D68" s="2">
        <v>16</v>
      </c>
      <c r="E68" s="16">
        <v>46183</v>
      </c>
      <c r="F68" s="130">
        <f>+Programacion_2026[[#This Row],[FECHAPROGRAMACIÓN]]+10</f>
        <v>46193</v>
      </c>
      <c r="G68" s="17" t="str">
        <f t="shared" si="138"/>
        <v>SÁBADO</v>
      </c>
      <c r="H68" s="2" t="s">
        <v>205</v>
      </c>
      <c r="I68" s="5" t="s">
        <v>252</v>
      </c>
      <c r="J68" s="17" t="str">
        <f t="shared" si="139"/>
        <v>JUNIO</v>
      </c>
      <c r="K68" s="18">
        <v>250000</v>
      </c>
      <c r="L68" s="110">
        <f t="shared" si="140"/>
        <v>4000000</v>
      </c>
      <c r="N68" s="1" t="s">
        <v>204</v>
      </c>
      <c r="P68" s="4"/>
      <c r="Q68" s="21">
        <f t="shared" si="141"/>
        <v>0</v>
      </c>
      <c r="R68" s="111"/>
    </row>
    <row r="69" spans="1:18" ht="15" customHeight="1" x14ac:dyDescent="0.35">
      <c r="A69" s="129">
        <v>55</v>
      </c>
      <c r="B69" s="133" t="s">
        <v>267</v>
      </c>
      <c r="D69" s="2">
        <v>20.399999999999999</v>
      </c>
      <c r="E69" s="16">
        <v>46208</v>
      </c>
      <c r="F69" s="130">
        <f>+Programacion_2026[[#This Row],[FECHAPROGRAMACIÓN]]+10</f>
        <v>46218</v>
      </c>
      <c r="G69" s="17" t="str">
        <f t="shared" ref="G69:G73" si="142">IF(F69="","",UPPER(TEXT(F69,"dddd")))</f>
        <v>MIÉRCOLES</v>
      </c>
      <c r="H69" s="2" t="s">
        <v>205</v>
      </c>
      <c r="I69" s="5" t="s">
        <v>252</v>
      </c>
      <c r="J69" s="17" t="str">
        <f t="shared" ref="J69:J73" si="143">UPPER(TEXT(F69,"MMMM"))</f>
        <v>JULIO</v>
      </c>
      <c r="K69" s="18">
        <v>90000</v>
      </c>
      <c r="L69" s="110">
        <f t="shared" ref="L69:L73" si="144">+D69*K69</f>
        <v>1835999.9999999998</v>
      </c>
      <c r="N69" s="1" t="s">
        <v>204</v>
      </c>
      <c r="P69" s="4"/>
      <c r="Q69" s="21">
        <f t="shared" ref="Q69:Q73" si="145">(P69-O69)*24</f>
        <v>0</v>
      </c>
      <c r="R69" s="111"/>
    </row>
    <row r="70" spans="1:18" ht="15" customHeight="1" x14ac:dyDescent="0.35">
      <c r="A70" s="129">
        <v>55</v>
      </c>
      <c r="B70" s="133" t="s">
        <v>267</v>
      </c>
      <c r="D70" s="2">
        <v>5.8</v>
      </c>
      <c r="E70" s="16">
        <v>46208</v>
      </c>
      <c r="F70" s="130">
        <f>+Programacion_2026[[#This Row],[FECHAPROGRAMACIÓN]]+10</f>
        <v>46218</v>
      </c>
      <c r="G70" s="17" t="str">
        <f t="shared" si="142"/>
        <v>MIÉRCOLES</v>
      </c>
      <c r="H70" s="2" t="s">
        <v>205</v>
      </c>
      <c r="I70" s="5" t="s">
        <v>252</v>
      </c>
      <c r="J70" s="17" t="str">
        <f t="shared" si="143"/>
        <v>JULIO</v>
      </c>
      <c r="K70" s="18">
        <v>90000</v>
      </c>
      <c r="L70" s="110">
        <f t="shared" si="144"/>
        <v>522000</v>
      </c>
      <c r="N70" s="1" t="s">
        <v>204</v>
      </c>
      <c r="P70" s="4"/>
      <c r="Q70" s="21">
        <f t="shared" si="145"/>
        <v>0</v>
      </c>
      <c r="R70" s="111"/>
    </row>
    <row r="71" spans="1:18" ht="15" customHeight="1" x14ac:dyDescent="0.35">
      <c r="A71" s="129">
        <v>55</v>
      </c>
      <c r="B71" s="133" t="s">
        <v>268</v>
      </c>
      <c r="D71" s="2">
        <v>12.6</v>
      </c>
      <c r="E71" s="16">
        <v>46210</v>
      </c>
      <c r="F71" s="130">
        <f>+Programacion_2026[[#This Row],[FECHAPROGRAMACIÓN]]+10</f>
        <v>46220</v>
      </c>
      <c r="G71" s="17" t="str">
        <f t="shared" si="142"/>
        <v>VIERNES</v>
      </c>
      <c r="H71" s="2" t="s">
        <v>205</v>
      </c>
      <c r="I71" s="5" t="s">
        <v>252</v>
      </c>
      <c r="J71" s="17" t="str">
        <f t="shared" si="143"/>
        <v>JULIO</v>
      </c>
      <c r="K71" s="18">
        <v>250000</v>
      </c>
      <c r="L71" s="110">
        <f t="shared" si="144"/>
        <v>3150000</v>
      </c>
      <c r="N71" s="1" t="s">
        <v>204</v>
      </c>
      <c r="P71" s="4"/>
      <c r="Q71" s="21">
        <f t="shared" si="145"/>
        <v>0</v>
      </c>
      <c r="R71" s="111"/>
    </row>
    <row r="72" spans="1:18" ht="15" customHeight="1" x14ac:dyDescent="0.35">
      <c r="A72" s="129">
        <v>55</v>
      </c>
      <c r="B72" s="133" t="s">
        <v>268</v>
      </c>
      <c r="D72" s="2">
        <v>16.2</v>
      </c>
      <c r="E72" s="16">
        <v>46211</v>
      </c>
      <c r="F72" s="130">
        <f>+Programacion_2026[[#This Row],[FECHAPROGRAMACIÓN]]+10</f>
        <v>46221</v>
      </c>
      <c r="G72" s="17" t="str">
        <f t="shared" si="142"/>
        <v>SÁBADO</v>
      </c>
      <c r="H72" s="2" t="s">
        <v>205</v>
      </c>
      <c r="I72" s="5" t="s">
        <v>252</v>
      </c>
      <c r="J72" s="17" t="str">
        <f t="shared" si="143"/>
        <v>JULIO</v>
      </c>
      <c r="K72" s="18">
        <v>250000</v>
      </c>
      <c r="L72" s="110">
        <f t="shared" si="144"/>
        <v>4050000</v>
      </c>
      <c r="N72" s="1" t="s">
        <v>204</v>
      </c>
      <c r="P72" s="4"/>
      <c r="Q72" s="21">
        <f t="shared" si="145"/>
        <v>0</v>
      </c>
      <c r="R72" s="111"/>
    </row>
    <row r="73" spans="1:18" ht="15" customHeight="1" x14ac:dyDescent="0.35">
      <c r="A73" s="129">
        <v>55</v>
      </c>
      <c r="B73" s="133" t="s">
        <v>268</v>
      </c>
      <c r="D73" s="2">
        <v>4.2</v>
      </c>
      <c r="E73" s="16">
        <v>46212</v>
      </c>
      <c r="F73" s="130">
        <f>+Programacion_2026[[#This Row],[FECHAPROGRAMACIÓN]]+10</f>
        <v>46222</v>
      </c>
      <c r="G73" s="17" t="str">
        <f t="shared" si="142"/>
        <v>DOMINGO</v>
      </c>
      <c r="H73" s="2" t="s">
        <v>205</v>
      </c>
      <c r="I73" s="5" t="s">
        <v>252</v>
      </c>
      <c r="J73" s="17" t="str">
        <f t="shared" si="143"/>
        <v>JULIO</v>
      </c>
      <c r="K73" s="18">
        <v>250000</v>
      </c>
      <c r="L73" s="110">
        <f t="shared" si="144"/>
        <v>1050000</v>
      </c>
      <c r="N73" s="1" t="s">
        <v>204</v>
      </c>
      <c r="P73" s="4"/>
      <c r="Q73" s="21">
        <f t="shared" si="145"/>
        <v>0</v>
      </c>
      <c r="R73" s="111"/>
    </row>
    <row r="74" spans="1:18" ht="15" customHeight="1" x14ac:dyDescent="0.35">
      <c r="A74" s="129">
        <v>55</v>
      </c>
      <c r="B74" s="133" t="s">
        <v>269</v>
      </c>
      <c r="D74" s="2">
        <v>12</v>
      </c>
      <c r="E74" s="16">
        <v>46213</v>
      </c>
      <c r="F74" s="130">
        <f>+Programacion_2026[[#This Row],[FECHAPROGRAMACIÓN]]+10</f>
        <v>46223</v>
      </c>
      <c r="G74" s="17" t="str">
        <f t="shared" ref="G74" si="146">IF(F74="","",UPPER(TEXT(F74,"dddd")))</f>
        <v>LUNES</v>
      </c>
      <c r="H74" s="2" t="s">
        <v>205</v>
      </c>
      <c r="I74" s="5" t="s">
        <v>252</v>
      </c>
      <c r="J74" s="17" t="str">
        <f t="shared" ref="J74" si="147">UPPER(TEXT(F74,"MMMM"))</f>
        <v>JULIO</v>
      </c>
      <c r="K74" s="18">
        <v>250000</v>
      </c>
      <c r="L74" s="110">
        <f t="shared" ref="L74" si="148">+D74*K74</f>
        <v>3000000</v>
      </c>
      <c r="N74" s="1" t="s">
        <v>204</v>
      </c>
      <c r="P74" s="4"/>
      <c r="Q74" s="21">
        <f t="shared" ref="Q74" si="149">(P74-O74)*24</f>
        <v>0</v>
      </c>
      <c r="R74" s="111"/>
    </row>
    <row r="75" spans="1:18" ht="15" customHeight="1" x14ac:dyDescent="0.35">
      <c r="A75" s="129">
        <v>55</v>
      </c>
      <c r="B75" s="133" t="s">
        <v>270</v>
      </c>
      <c r="D75" s="2">
        <v>17.3</v>
      </c>
      <c r="E75" s="16">
        <v>46216</v>
      </c>
      <c r="F75" s="130">
        <f>+Programacion_2026[[#This Row],[FECHAPROGRAMACIÓN]]+10</f>
        <v>46226</v>
      </c>
      <c r="G75" s="17" t="str">
        <f>IF(F75="","",UPPER(TEXT(F75,"dddd")))</f>
        <v>JUEVES</v>
      </c>
      <c r="H75" s="2" t="s">
        <v>205</v>
      </c>
      <c r="I75" s="5" t="s">
        <v>252</v>
      </c>
      <c r="J75" s="17" t="str">
        <f t="shared" ref="J75" si="150">UPPER(TEXT(F75,"MMMM"))</f>
        <v>JULIO</v>
      </c>
      <c r="K75" s="18">
        <v>250000</v>
      </c>
      <c r="L75" s="110">
        <f t="shared" ref="L75" si="151">+D75*K75</f>
        <v>4325000</v>
      </c>
      <c r="N75" s="1" t="s">
        <v>204</v>
      </c>
      <c r="P75" s="4"/>
      <c r="Q75" s="21">
        <f t="shared" ref="Q75" si="152">(P75-O75)*24</f>
        <v>0</v>
      </c>
      <c r="R75" s="111"/>
    </row>
  </sheetData>
  <sheetProtection formatCells="0" formatColumns="0" formatRows="0" autoFilter="0"/>
  <phoneticPr fontId="23" type="noConversion"/>
  <dataValidations count="2">
    <dataValidation type="custom" allowBlank="1" showDropDown="1" sqref="E2:F31 H2:I75" xr:uid="{00000000-0002-0000-0000-000000000000}">
      <formula1>OR(NOT(ISERROR(DATEVALUE(E2))),AND(ISNUMBER(E2),LEFT(CELL("format",E2))="D"))</formula1>
    </dataValidation>
    <dataValidation type="custom" allowBlank="1" showDropDown="1" sqref="D2:D26" xr:uid="{00000000-0002-0000-0000-000002000000}">
      <formula1>AND(ISNUMBER(D2),(NOT(OR(NOT(ISERROR(DATEVALUE(D2))),AND(ISNUMBER(D2),LEFT(CELL("format",D2))="D")))))</formula1>
    </dataValidation>
  </dataValidations>
  <pageMargins left="0.7" right="0.7" top="0.75" bottom="0.75" header="0" footer="0"/>
  <pageSetup paperSize="9" fitToWidth="0"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AD29"/>
  <sheetViews>
    <sheetView showGridLines="0" topLeftCell="A2" zoomScale="101" workbookViewId="0">
      <selection activeCell="Q9" sqref="Q9"/>
    </sheetView>
  </sheetViews>
  <sheetFormatPr baseColWidth="10" defaultColWidth="14" defaultRowHeight="15" customHeight="1" x14ac:dyDescent="0.35"/>
  <cols>
    <col min="1" max="1" width="7.81640625" customWidth="1"/>
    <col min="2" max="2" width="11.6328125" bestFit="1" customWidth="1"/>
    <col min="3" max="3" width="29.08984375" bestFit="1" customWidth="1"/>
    <col min="4" max="4" width="21.08984375" bestFit="1" customWidth="1"/>
    <col min="5" max="8" width="11.36328125" bestFit="1" customWidth="1"/>
    <col min="9" max="9" width="12.36328125" bestFit="1" customWidth="1"/>
    <col min="10" max="22" width="1.6328125" customWidth="1"/>
    <col min="23" max="23" width="2.6328125" customWidth="1"/>
    <col min="24" max="24" width="29.08984375" bestFit="1" customWidth="1"/>
    <col min="25" max="25" width="21.08984375" bestFit="1" customWidth="1"/>
    <col min="26" max="27" width="6.81640625" bestFit="1" customWidth="1"/>
    <col min="28" max="28" width="5.90625" bestFit="1" customWidth="1"/>
    <col min="29" max="29" width="5.81640625" bestFit="1" customWidth="1"/>
    <col min="30" max="30" width="11.6328125" bestFit="1" customWidth="1"/>
  </cols>
  <sheetData>
    <row r="1" spans="3:30" ht="14.5" x14ac:dyDescent="0.35"/>
    <row r="2" spans="3:30" ht="14.5" x14ac:dyDescent="0.35"/>
    <row r="3" spans="3:30" ht="15" customHeight="1" x14ac:dyDescent="0.35">
      <c r="C3" s="116" t="s">
        <v>145</v>
      </c>
      <c r="D3" s="116" t="s">
        <v>146</v>
      </c>
      <c r="X3" s="116" t="s">
        <v>117</v>
      </c>
      <c r="Y3" s="116" t="s">
        <v>146</v>
      </c>
    </row>
    <row r="4" spans="3:30" ht="15" customHeight="1" x14ac:dyDescent="0.35">
      <c r="C4" s="116" t="s">
        <v>142</v>
      </c>
      <c r="D4" s="122" t="s">
        <v>22</v>
      </c>
      <c r="E4" s="122" t="s">
        <v>156</v>
      </c>
      <c r="F4" s="122" t="s">
        <v>157</v>
      </c>
      <c r="G4" s="122" t="s">
        <v>158</v>
      </c>
      <c r="H4" s="122" t="s">
        <v>159</v>
      </c>
      <c r="I4" s="122" t="s">
        <v>118</v>
      </c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X4" s="116" t="s">
        <v>142</v>
      </c>
      <c r="Y4" s="122" t="s">
        <v>22</v>
      </c>
      <c r="Z4" s="122" t="s">
        <v>156</v>
      </c>
      <c r="AA4" s="122" t="s">
        <v>157</v>
      </c>
      <c r="AB4" s="122" t="s">
        <v>158</v>
      </c>
      <c r="AC4" s="122" t="s">
        <v>159</v>
      </c>
      <c r="AD4" s="122" t="s">
        <v>118</v>
      </c>
    </row>
    <row r="5" spans="3:30" ht="15" customHeight="1" x14ac:dyDescent="0.35">
      <c r="C5" s="117" t="s">
        <v>259</v>
      </c>
      <c r="D5" s="123"/>
      <c r="E5" s="123"/>
      <c r="F5" s="123"/>
      <c r="G5" s="134">
        <v>17664000</v>
      </c>
      <c r="H5" s="123">
        <v>19068000</v>
      </c>
      <c r="I5" s="123">
        <v>36732000</v>
      </c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X5" s="117" t="s">
        <v>259</v>
      </c>
      <c r="Y5" s="131"/>
      <c r="Z5" s="131"/>
      <c r="AA5" s="131"/>
      <c r="AB5" s="132">
        <v>147.19999999999999</v>
      </c>
      <c r="AC5" s="131">
        <v>158.9</v>
      </c>
      <c r="AD5" s="131">
        <v>306.10000000000002</v>
      </c>
    </row>
    <row r="6" spans="3:30" ht="15" customHeight="1" x14ac:dyDescent="0.35">
      <c r="C6" s="117" t="s">
        <v>233</v>
      </c>
      <c r="D6" s="123">
        <v>10400400.000000002</v>
      </c>
      <c r="E6" s="123">
        <v>6933600</v>
      </c>
      <c r="F6" s="123"/>
      <c r="G6" s="123"/>
      <c r="H6" s="123"/>
      <c r="I6" s="123">
        <v>17334000</v>
      </c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X6" s="117" t="s">
        <v>233</v>
      </c>
      <c r="Y6" s="131">
        <v>86.67</v>
      </c>
      <c r="Z6" s="131">
        <v>86.67</v>
      </c>
      <c r="AA6" s="131"/>
      <c r="AB6" s="131"/>
      <c r="AC6" s="131"/>
      <c r="AD6" s="131">
        <v>173.34</v>
      </c>
    </row>
    <row r="7" spans="3:30" ht="15" customHeight="1" x14ac:dyDescent="0.35">
      <c r="C7" s="117" t="s">
        <v>255</v>
      </c>
      <c r="D7" s="123"/>
      <c r="E7" s="123"/>
      <c r="F7" s="123">
        <v>12372200</v>
      </c>
      <c r="G7" s="123"/>
      <c r="H7" s="123"/>
      <c r="I7" s="123">
        <v>12372200</v>
      </c>
      <c r="J7" s="123"/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X7" s="117" t="s">
        <v>125</v>
      </c>
      <c r="Y7" s="131"/>
      <c r="Z7" s="131"/>
      <c r="AA7" s="131"/>
      <c r="AB7" s="131">
        <v>80</v>
      </c>
      <c r="AC7" s="131"/>
      <c r="AD7" s="131">
        <v>80</v>
      </c>
    </row>
    <row r="8" spans="3:30" ht="15" customHeight="1" x14ac:dyDescent="0.35">
      <c r="C8" s="117" t="s">
        <v>256</v>
      </c>
      <c r="D8" s="123"/>
      <c r="E8" s="123"/>
      <c r="F8" s="123">
        <v>8925000</v>
      </c>
      <c r="G8" s="123"/>
      <c r="H8" s="123"/>
      <c r="I8" s="123">
        <v>8925000</v>
      </c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X8" s="117" t="s">
        <v>219</v>
      </c>
      <c r="Y8" s="131">
        <v>66.790000000000006</v>
      </c>
      <c r="Z8" s="131"/>
      <c r="AA8" s="131"/>
      <c r="AB8" s="131"/>
      <c r="AC8" s="131"/>
      <c r="AD8" s="131">
        <v>66.790000000000006</v>
      </c>
    </row>
    <row r="9" spans="3:30" ht="15" customHeight="1" x14ac:dyDescent="0.35">
      <c r="C9" s="117" t="s">
        <v>219</v>
      </c>
      <c r="D9" s="123">
        <v>8120400</v>
      </c>
      <c r="E9" s="123"/>
      <c r="F9" s="123"/>
      <c r="G9" s="123"/>
      <c r="H9" s="123"/>
      <c r="I9" s="123">
        <v>8120400</v>
      </c>
      <c r="J9" s="123"/>
      <c r="K9" s="123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X9" s="117" t="s">
        <v>256</v>
      </c>
      <c r="Y9" s="131"/>
      <c r="Z9" s="131"/>
      <c r="AA9" s="131">
        <v>59.5</v>
      </c>
      <c r="AB9" s="131"/>
      <c r="AC9" s="131"/>
      <c r="AD9" s="131">
        <v>59.5</v>
      </c>
    </row>
    <row r="10" spans="3:30" ht="15" customHeight="1" x14ac:dyDescent="0.35">
      <c r="C10" s="117" t="s">
        <v>208</v>
      </c>
      <c r="D10" s="123">
        <v>7046200</v>
      </c>
      <c r="E10" s="123"/>
      <c r="F10" s="123"/>
      <c r="G10" s="123"/>
      <c r="H10" s="123"/>
      <c r="I10" s="123">
        <v>7046200</v>
      </c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X10" s="117" t="s">
        <v>208</v>
      </c>
      <c r="Y10" s="131">
        <v>55.790000000000006</v>
      </c>
      <c r="Z10" s="131"/>
      <c r="AA10" s="131"/>
      <c r="AB10" s="131"/>
      <c r="AC10" s="131"/>
      <c r="AD10" s="131">
        <v>55.790000000000006</v>
      </c>
    </row>
    <row r="11" spans="3:30" ht="15" customHeight="1" x14ac:dyDescent="0.35">
      <c r="C11" s="117" t="s">
        <v>253</v>
      </c>
      <c r="D11" s="123"/>
      <c r="E11" s="123"/>
      <c r="F11" s="123">
        <v>6925000</v>
      </c>
      <c r="G11" s="123"/>
      <c r="H11" s="123"/>
      <c r="I11" s="123">
        <v>6925000</v>
      </c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X11" s="117" t="s">
        <v>255</v>
      </c>
      <c r="Y11" s="131"/>
      <c r="Z11" s="131"/>
      <c r="AA11" s="131">
        <v>45.59</v>
      </c>
      <c r="AB11" s="131"/>
      <c r="AC11" s="131"/>
      <c r="AD11" s="131">
        <v>45.59</v>
      </c>
    </row>
    <row r="12" spans="3:30" ht="15" customHeight="1" x14ac:dyDescent="0.35">
      <c r="C12" s="117" t="s">
        <v>264</v>
      </c>
      <c r="D12" s="123"/>
      <c r="E12" s="123"/>
      <c r="F12" s="123"/>
      <c r="G12" s="123">
        <v>5686000</v>
      </c>
      <c r="H12" s="123"/>
      <c r="I12" s="123">
        <v>5686000</v>
      </c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X12" s="117" t="s">
        <v>244</v>
      </c>
      <c r="Y12" s="131"/>
      <c r="Z12" s="131">
        <v>20.5</v>
      </c>
      <c r="AA12" s="131">
        <v>20.5</v>
      </c>
      <c r="AB12" s="131"/>
      <c r="AC12" s="131"/>
      <c r="AD12" s="131">
        <v>41</v>
      </c>
    </row>
    <row r="13" spans="3:30" ht="15" customHeight="1" x14ac:dyDescent="0.35">
      <c r="C13" s="117" t="s">
        <v>244</v>
      </c>
      <c r="D13" s="123"/>
      <c r="E13" s="123">
        <v>2460000</v>
      </c>
      <c r="F13" s="123">
        <v>2460000</v>
      </c>
      <c r="G13" s="123"/>
      <c r="H13" s="123"/>
      <c r="I13" s="123">
        <v>4920000</v>
      </c>
      <c r="J13" s="123"/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X13" s="117" t="s">
        <v>253</v>
      </c>
      <c r="Y13" s="131"/>
      <c r="Z13" s="131"/>
      <c r="AA13" s="131">
        <v>27.7</v>
      </c>
      <c r="AB13" s="131"/>
      <c r="AC13" s="131"/>
      <c r="AD13" s="131">
        <v>27.7</v>
      </c>
    </row>
    <row r="14" spans="3:30" ht="15" customHeight="1" x14ac:dyDescent="0.35">
      <c r="C14" s="117" t="s">
        <v>206</v>
      </c>
      <c r="D14" s="123">
        <v>4260000</v>
      </c>
      <c r="E14" s="123"/>
      <c r="F14" s="123"/>
      <c r="G14" s="123"/>
      <c r="H14" s="123"/>
      <c r="I14" s="123">
        <v>4260000</v>
      </c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X14" s="117" t="s">
        <v>243</v>
      </c>
      <c r="Y14" s="131"/>
      <c r="Z14" s="131"/>
      <c r="AA14" s="131">
        <v>24.4</v>
      </c>
      <c r="AB14" s="131"/>
      <c r="AC14" s="131"/>
      <c r="AD14" s="131">
        <v>24.4</v>
      </c>
    </row>
    <row r="15" spans="3:30" ht="15" customHeight="1" x14ac:dyDescent="0.35">
      <c r="C15" s="117" t="s">
        <v>266</v>
      </c>
      <c r="D15" s="123"/>
      <c r="E15" s="123"/>
      <c r="F15" s="123"/>
      <c r="G15" s="123">
        <v>4000000</v>
      </c>
      <c r="H15" s="123"/>
      <c r="I15" s="123">
        <v>4000000</v>
      </c>
      <c r="J15" s="123"/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X15" s="117" t="s">
        <v>245</v>
      </c>
      <c r="Y15" s="131"/>
      <c r="Z15" s="131"/>
      <c r="AA15" s="131">
        <v>21.2</v>
      </c>
      <c r="AB15" s="131"/>
      <c r="AC15" s="131"/>
      <c r="AD15" s="131">
        <v>21.2</v>
      </c>
    </row>
    <row r="16" spans="3:30" ht="15" customHeight="1" x14ac:dyDescent="0.35">
      <c r="C16" s="117" t="s">
        <v>243</v>
      </c>
      <c r="D16" s="123"/>
      <c r="E16" s="123"/>
      <c r="F16" s="123">
        <v>2928000</v>
      </c>
      <c r="G16" s="123"/>
      <c r="H16" s="123"/>
      <c r="I16" s="123">
        <v>2928000</v>
      </c>
      <c r="J16" s="123"/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X16" s="117" t="s">
        <v>264</v>
      </c>
      <c r="Y16" s="131"/>
      <c r="Z16" s="131"/>
      <c r="AA16" s="131"/>
      <c r="AB16" s="131">
        <v>20.5</v>
      </c>
      <c r="AC16" s="131"/>
      <c r="AD16" s="131">
        <v>20.5</v>
      </c>
    </row>
    <row r="17" spans="3:30" ht="15" customHeight="1" x14ac:dyDescent="0.35">
      <c r="C17" s="117" t="s">
        <v>245</v>
      </c>
      <c r="D17" s="123"/>
      <c r="E17" s="123"/>
      <c r="F17" s="123">
        <v>2544000</v>
      </c>
      <c r="G17" s="123"/>
      <c r="H17" s="123"/>
      <c r="I17" s="123">
        <v>2544000</v>
      </c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X17" s="117" t="s">
        <v>206</v>
      </c>
      <c r="Y17" s="131">
        <v>17.04</v>
      </c>
      <c r="Z17" s="131"/>
      <c r="AA17" s="131"/>
      <c r="AB17" s="131"/>
      <c r="AC17" s="131"/>
      <c r="AD17" s="131">
        <v>17.04</v>
      </c>
    </row>
    <row r="18" spans="3:30" ht="15" customHeight="1" x14ac:dyDescent="0.35">
      <c r="C18" s="117" t="s">
        <v>265</v>
      </c>
      <c r="D18" s="123"/>
      <c r="E18" s="123"/>
      <c r="F18" s="123"/>
      <c r="G18" s="123">
        <v>2150000</v>
      </c>
      <c r="H18" s="123"/>
      <c r="I18" s="123">
        <v>2150000</v>
      </c>
      <c r="J18" s="123"/>
      <c r="K18" s="123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X18" s="117" t="s">
        <v>266</v>
      </c>
      <c r="Y18" s="131"/>
      <c r="Z18" s="131"/>
      <c r="AA18" s="131"/>
      <c r="AB18" s="131">
        <v>16</v>
      </c>
      <c r="AC18" s="131"/>
      <c r="AD18" s="131">
        <v>16</v>
      </c>
    </row>
    <row r="19" spans="3:30" ht="15" customHeight="1" x14ac:dyDescent="0.35">
      <c r="C19" s="117" t="s">
        <v>262</v>
      </c>
      <c r="D19" s="123"/>
      <c r="E19" s="123"/>
      <c r="F19" s="123"/>
      <c r="G19" s="123">
        <v>1470000</v>
      </c>
      <c r="H19" s="123"/>
      <c r="I19" s="123">
        <v>1470000</v>
      </c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X19" s="117" t="s">
        <v>246</v>
      </c>
      <c r="Y19" s="131"/>
      <c r="Z19" s="131">
        <v>10.5</v>
      </c>
      <c r="AA19" s="131"/>
      <c r="AB19" s="131"/>
      <c r="AC19" s="131"/>
      <c r="AD19" s="131">
        <v>10.5</v>
      </c>
    </row>
    <row r="20" spans="3:30" ht="15" customHeight="1" x14ac:dyDescent="0.35">
      <c r="C20" s="117" t="s">
        <v>263</v>
      </c>
      <c r="D20" s="123"/>
      <c r="E20" s="123"/>
      <c r="F20" s="123"/>
      <c r="G20" s="123">
        <v>1400000</v>
      </c>
      <c r="H20" s="123"/>
      <c r="I20" s="123">
        <v>1400000</v>
      </c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X20" s="117" t="s">
        <v>247</v>
      </c>
      <c r="Y20" s="131"/>
      <c r="Z20" s="131">
        <v>9</v>
      </c>
      <c r="AA20" s="131"/>
      <c r="AB20" s="131"/>
      <c r="AC20" s="131"/>
      <c r="AD20" s="131">
        <v>9</v>
      </c>
    </row>
    <row r="21" spans="3:30" ht="15" customHeight="1" x14ac:dyDescent="0.35">
      <c r="C21" s="117" t="s">
        <v>246</v>
      </c>
      <c r="D21" s="123"/>
      <c r="E21" s="123">
        <v>1260000</v>
      </c>
      <c r="F21" s="123"/>
      <c r="G21" s="123"/>
      <c r="H21" s="123"/>
      <c r="I21" s="123">
        <v>1260000</v>
      </c>
      <c r="J21" s="123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X21" s="117" t="s">
        <v>265</v>
      </c>
      <c r="Y21" s="131"/>
      <c r="Z21" s="131"/>
      <c r="AA21" s="131"/>
      <c r="AB21" s="131">
        <v>8.6</v>
      </c>
      <c r="AC21" s="131"/>
      <c r="AD21" s="131">
        <v>8.6</v>
      </c>
    </row>
    <row r="22" spans="3:30" ht="15" customHeight="1" x14ac:dyDescent="0.35">
      <c r="C22" s="117" t="s">
        <v>260</v>
      </c>
      <c r="D22" s="123"/>
      <c r="E22" s="123"/>
      <c r="F22" s="123"/>
      <c r="G22" s="123">
        <v>1164000</v>
      </c>
      <c r="H22" s="123"/>
      <c r="I22" s="123">
        <v>1164000</v>
      </c>
      <c r="J22" s="123"/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X22" s="117" t="s">
        <v>262</v>
      </c>
      <c r="Y22" s="131"/>
      <c r="Z22" s="131"/>
      <c r="AA22" s="131"/>
      <c r="AB22" s="131">
        <v>8</v>
      </c>
      <c r="AC22" s="131"/>
      <c r="AD22" s="131">
        <v>8</v>
      </c>
    </row>
    <row r="23" spans="3:30" ht="15" customHeight="1" x14ac:dyDescent="0.35">
      <c r="C23" s="117" t="s">
        <v>247</v>
      </c>
      <c r="D23" s="123"/>
      <c r="E23" s="123">
        <v>1080000</v>
      </c>
      <c r="F23" s="123"/>
      <c r="G23" s="123"/>
      <c r="H23" s="123"/>
      <c r="I23" s="123">
        <v>1080000</v>
      </c>
      <c r="X23" s="117" t="s">
        <v>260</v>
      </c>
      <c r="Y23" s="131"/>
      <c r="Z23" s="131"/>
      <c r="AA23" s="131"/>
      <c r="AB23" s="131">
        <v>6.3</v>
      </c>
      <c r="AC23" s="131"/>
      <c r="AD23" s="131">
        <v>6.3</v>
      </c>
    </row>
    <row r="24" spans="3:30" ht="15" customHeight="1" x14ac:dyDescent="0.35">
      <c r="C24" s="117" t="s">
        <v>258</v>
      </c>
      <c r="D24" s="123"/>
      <c r="E24" s="123"/>
      <c r="F24" s="123">
        <v>1075000</v>
      </c>
      <c r="G24" s="123"/>
      <c r="H24" s="123"/>
      <c r="I24" s="123">
        <v>1075000</v>
      </c>
      <c r="X24" s="117" t="s">
        <v>263</v>
      </c>
      <c r="Y24" s="131"/>
      <c r="Z24" s="131"/>
      <c r="AA24" s="131"/>
      <c r="AB24" s="131">
        <v>5</v>
      </c>
      <c r="AC24" s="131"/>
      <c r="AD24" s="131">
        <v>5</v>
      </c>
    </row>
    <row r="25" spans="3:30" ht="15" customHeight="1" x14ac:dyDescent="0.35">
      <c r="C25" s="117" t="s">
        <v>261</v>
      </c>
      <c r="D25" s="123"/>
      <c r="E25" s="123"/>
      <c r="F25" s="123"/>
      <c r="G25" s="123">
        <v>822000</v>
      </c>
      <c r="H25" s="123"/>
      <c r="I25" s="123">
        <v>822000</v>
      </c>
      <c r="X25" s="117" t="s">
        <v>261</v>
      </c>
      <c r="Y25" s="131"/>
      <c r="Z25" s="131"/>
      <c r="AA25" s="131"/>
      <c r="AB25" s="131">
        <v>4.4000000000000004</v>
      </c>
      <c r="AC25" s="131"/>
      <c r="AD25" s="131">
        <v>4.4000000000000004</v>
      </c>
    </row>
    <row r="26" spans="3:30" ht="15" customHeight="1" x14ac:dyDescent="0.35">
      <c r="C26" s="117" t="s">
        <v>257</v>
      </c>
      <c r="D26" s="123"/>
      <c r="E26" s="123"/>
      <c r="F26" s="123">
        <v>800000</v>
      </c>
      <c r="G26" s="123"/>
      <c r="H26" s="123"/>
      <c r="I26" s="123">
        <v>800000</v>
      </c>
      <c r="X26" s="117" t="s">
        <v>258</v>
      </c>
      <c r="Y26" s="131"/>
      <c r="Z26" s="131"/>
      <c r="AA26" s="131">
        <v>4.3</v>
      </c>
      <c r="AB26" s="131"/>
      <c r="AC26" s="131"/>
      <c r="AD26" s="131">
        <v>4.3</v>
      </c>
    </row>
    <row r="27" spans="3:30" ht="15" customHeight="1" x14ac:dyDescent="0.35">
      <c r="C27" s="117" t="s">
        <v>254</v>
      </c>
      <c r="D27" s="123"/>
      <c r="E27" s="123"/>
      <c r="F27" s="123">
        <v>750000</v>
      </c>
      <c r="G27" s="123"/>
      <c r="H27" s="123"/>
      <c r="I27" s="123">
        <v>750000</v>
      </c>
      <c r="X27" s="117" t="s">
        <v>257</v>
      </c>
      <c r="Y27" s="131"/>
      <c r="Z27" s="131"/>
      <c r="AA27" s="131">
        <v>3.2</v>
      </c>
      <c r="AB27" s="131"/>
      <c r="AC27" s="131"/>
      <c r="AD27" s="131">
        <v>3.2</v>
      </c>
    </row>
    <row r="28" spans="3:30" ht="15" customHeight="1" x14ac:dyDescent="0.35">
      <c r="C28" s="117" t="s">
        <v>118</v>
      </c>
      <c r="D28" s="123">
        <v>29827000</v>
      </c>
      <c r="E28" s="123">
        <v>11733600</v>
      </c>
      <c r="F28" s="123">
        <v>38779200</v>
      </c>
      <c r="G28" s="123">
        <v>34356000</v>
      </c>
      <c r="H28" s="123">
        <v>19068000</v>
      </c>
      <c r="I28" s="123">
        <v>133763800</v>
      </c>
      <c r="X28" s="117" t="s">
        <v>254</v>
      </c>
      <c r="Y28" s="131"/>
      <c r="Z28" s="131"/>
      <c r="AA28" s="131">
        <v>3</v>
      </c>
      <c r="AB28" s="131"/>
      <c r="AC28" s="131"/>
      <c r="AD28" s="131">
        <v>3</v>
      </c>
    </row>
    <row r="29" spans="3:30" ht="15" customHeight="1" x14ac:dyDescent="0.35">
      <c r="X29" s="117" t="s">
        <v>118</v>
      </c>
      <c r="Y29" s="131">
        <v>226.29</v>
      </c>
      <c r="Z29" s="131">
        <v>126.67</v>
      </c>
      <c r="AA29" s="131">
        <v>209.39000000000001</v>
      </c>
      <c r="AB29" s="131">
        <v>296</v>
      </c>
      <c r="AC29" s="131">
        <v>158.9</v>
      </c>
      <c r="AD29" s="131">
        <v>1017.25</v>
      </c>
    </row>
  </sheetData>
  <pageMargins left="0.7" right="0.7" top="0.75" bottom="0.75" header="0" footer="0"/>
  <pageSetup paperSize="9" fitToWidth="0" fitToHeight="0" orientation="landscape"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CCFF"/>
  </sheetPr>
  <dimension ref="A1:IA277"/>
  <sheetViews>
    <sheetView showGridLines="0" workbookViewId="0">
      <pane xSplit="1" ySplit="8" topLeftCell="N9" activePane="bottomRight" state="frozen"/>
      <selection pane="topRight"/>
      <selection pane="bottomLeft"/>
      <selection pane="bottomRight" activeCell="N84" sqref="N84"/>
    </sheetView>
  </sheetViews>
  <sheetFormatPr baseColWidth="10" defaultColWidth="11" defaultRowHeight="15" customHeight="1" x14ac:dyDescent="0.35"/>
  <cols>
    <col min="1" max="1" width="41.81640625" bestFit="1" customWidth="1"/>
    <col min="2" max="2" width="11.26953125" bestFit="1" customWidth="1"/>
    <col min="3" max="3" width="15.7265625" bestFit="1" customWidth="1"/>
    <col min="4" max="4" width="11.81640625" bestFit="1" customWidth="1"/>
    <col min="5" max="5" width="13.81640625" bestFit="1" customWidth="1"/>
    <col min="6" max="6" width="12.453125" bestFit="1" customWidth="1"/>
    <col min="7" max="7" width="12.1796875" bestFit="1" customWidth="1"/>
    <col min="8" max="11" width="15.7265625" bestFit="1" customWidth="1"/>
    <col min="12" max="12" width="16.81640625" bestFit="1" customWidth="1"/>
    <col min="13" max="13" width="15.7265625" bestFit="1" customWidth="1"/>
    <col min="14" max="14" width="16.81640625" bestFit="1" customWidth="1"/>
    <col min="15" max="18" width="16.81640625" customWidth="1"/>
    <col min="20" max="20" width="37" bestFit="1" customWidth="1"/>
    <col min="21" max="21" width="9.453125" bestFit="1" customWidth="1"/>
    <col min="22" max="22" width="9.26953125" bestFit="1" customWidth="1"/>
    <col min="23" max="24" width="10.453125" bestFit="1" customWidth="1"/>
    <col min="25" max="25" width="7.453125" bestFit="1" customWidth="1"/>
    <col min="26" max="26" width="11.453125" bestFit="1" customWidth="1"/>
    <col min="27" max="27" width="16.7265625" bestFit="1" customWidth="1"/>
    <col min="28" max="28" width="11.453125" bestFit="1" customWidth="1"/>
    <col min="29" max="29" width="17.1796875" bestFit="1" customWidth="1"/>
    <col min="32" max="32" width="17.1796875" bestFit="1" customWidth="1"/>
    <col min="33" max="33" width="13.81640625" bestFit="1" customWidth="1"/>
    <col min="34" max="34" width="17.453125" bestFit="1" customWidth="1"/>
    <col min="35" max="35" width="13" bestFit="1" customWidth="1"/>
    <col min="36" max="36" width="10.453125" bestFit="1" customWidth="1"/>
    <col min="37" max="37" width="14.1796875" bestFit="1" customWidth="1"/>
    <col min="235" max="235" width="2.453125" bestFit="1" customWidth="1"/>
  </cols>
  <sheetData>
    <row r="1" spans="1:235" ht="14.25" customHeight="1" x14ac:dyDescent="0.35">
      <c r="A1" s="26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N1" s="28" t="s">
        <v>32</v>
      </c>
      <c r="O1" s="29">
        <v>45992</v>
      </c>
      <c r="R1" s="29"/>
      <c r="S1" s="27"/>
      <c r="T1" s="30">
        <v>9536000</v>
      </c>
      <c r="U1" s="27"/>
      <c r="V1" s="31"/>
      <c r="W1" s="31"/>
      <c r="X1" s="31"/>
      <c r="Y1" s="31"/>
      <c r="Z1" s="31"/>
      <c r="AA1" s="31"/>
      <c r="AB1" s="31"/>
      <c r="AC1" s="31"/>
      <c r="AD1" s="31"/>
      <c r="AE1" s="31"/>
      <c r="AF1" s="22" t="s">
        <v>25</v>
      </c>
      <c r="AG1" s="22" t="s">
        <v>26</v>
      </c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31"/>
      <c r="CC1" s="31"/>
      <c r="CD1" s="31"/>
      <c r="CE1" s="31"/>
      <c r="CF1" s="31"/>
      <c r="CG1" s="31"/>
      <c r="CH1" s="31"/>
      <c r="CI1" s="31"/>
      <c r="CJ1" s="31"/>
      <c r="CK1" s="31"/>
      <c r="CL1" s="31"/>
      <c r="CM1" s="31"/>
      <c r="CN1" s="31"/>
      <c r="CO1" s="31"/>
      <c r="CP1" s="31"/>
      <c r="CQ1" s="31"/>
      <c r="CR1" s="31"/>
      <c r="CS1" s="31"/>
      <c r="CT1" s="31"/>
      <c r="CU1" s="31"/>
      <c r="CV1" s="31"/>
      <c r="CW1" s="31"/>
      <c r="CX1" s="31"/>
      <c r="CY1" s="31"/>
      <c r="CZ1" s="31"/>
      <c r="DA1" s="31"/>
      <c r="DB1" s="31"/>
      <c r="DC1" s="31"/>
      <c r="DD1" s="31"/>
      <c r="DE1" s="31"/>
      <c r="DF1" s="31"/>
      <c r="DG1" s="31"/>
      <c r="DH1" s="31"/>
      <c r="DI1" s="31"/>
      <c r="DJ1" s="31"/>
      <c r="DK1" s="31"/>
      <c r="DL1" s="31"/>
      <c r="DM1" s="31"/>
      <c r="DN1" s="31"/>
      <c r="DO1" s="31"/>
      <c r="DP1" s="31"/>
      <c r="DQ1" s="31"/>
      <c r="DR1" s="31"/>
      <c r="DS1" s="31"/>
      <c r="DT1" s="31"/>
      <c r="DU1" s="31"/>
      <c r="DV1" s="31"/>
      <c r="DW1" s="31"/>
      <c r="DX1" s="31"/>
      <c r="DY1" s="31"/>
      <c r="DZ1" s="31"/>
      <c r="EA1" s="31"/>
      <c r="EB1" s="31"/>
      <c r="EC1" s="31"/>
      <c r="ED1" s="31"/>
      <c r="EE1" s="31"/>
      <c r="EF1" s="31"/>
      <c r="EG1" s="31"/>
      <c r="EH1" s="31"/>
      <c r="EI1" s="31"/>
      <c r="EJ1" s="31"/>
      <c r="EK1" s="31"/>
      <c r="EL1" s="31"/>
      <c r="EM1" s="31"/>
      <c r="EN1" s="31"/>
      <c r="EO1" s="31"/>
      <c r="EP1" s="31"/>
      <c r="EQ1" s="31"/>
      <c r="ER1" s="31"/>
      <c r="ES1" s="31"/>
      <c r="ET1" s="31"/>
      <c r="EU1" s="31"/>
      <c r="EV1" s="31"/>
      <c r="EW1" s="31"/>
      <c r="EX1" s="31"/>
      <c r="EY1" s="31"/>
      <c r="EZ1" s="31"/>
      <c r="FA1" s="31"/>
      <c r="FB1" s="31"/>
      <c r="FC1" s="31"/>
      <c r="FD1" s="31"/>
      <c r="FE1" s="31"/>
      <c r="FF1" s="31"/>
      <c r="FG1" s="31"/>
      <c r="FH1" s="31"/>
      <c r="FI1" s="31"/>
      <c r="FJ1" s="31"/>
      <c r="FK1" s="31"/>
      <c r="FL1" s="31"/>
      <c r="FM1" s="31"/>
      <c r="FN1" s="31"/>
      <c r="FO1" s="31"/>
      <c r="FP1" s="31"/>
      <c r="FQ1" s="31"/>
      <c r="FR1" s="31"/>
      <c r="FS1" s="31"/>
      <c r="FT1" s="31"/>
      <c r="FU1" s="31"/>
      <c r="FV1" s="31"/>
      <c r="FW1" s="31"/>
      <c r="FX1" s="31"/>
      <c r="FY1" s="31"/>
      <c r="FZ1" s="31"/>
      <c r="GA1" s="31"/>
      <c r="GB1" s="31"/>
      <c r="GC1" s="31"/>
      <c r="GD1" s="31"/>
      <c r="GE1" s="31"/>
      <c r="GF1" s="31"/>
      <c r="GG1" s="31"/>
      <c r="GH1" s="31"/>
      <c r="GI1" s="31"/>
      <c r="GJ1" s="31"/>
      <c r="GK1" s="31"/>
      <c r="GL1" s="31"/>
      <c r="GM1" s="31"/>
      <c r="GN1" s="31"/>
      <c r="GO1" s="31"/>
      <c r="GP1" s="31"/>
      <c r="GQ1" s="31"/>
      <c r="GR1" s="31"/>
      <c r="GS1" s="31"/>
      <c r="GT1" s="31"/>
      <c r="GU1" s="31"/>
      <c r="GV1" s="31"/>
      <c r="GW1" s="31"/>
      <c r="GX1" s="31"/>
      <c r="GY1" s="31"/>
      <c r="GZ1" s="31"/>
      <c r="HA1" s="31"/>
      <c r="HB1" s="31"/>
      <c r="HC1" s="31"/>
      <c r="HD1" s="31"/>
      <c r="HE1" s="31"/>
      <c r="HF1" s="31"/>
      <c r="HG1" s="31"/>
      <c r="HH1" s="31"/>
      <c r="HI1" s="31"/>
      <c r="HJ1" s="31"/>
      <c r="HK1" s="31"/>
      <c r="HL1" s="31"/>
      <c r="HM1" s="31"/>
      <c r="HN1" s="31"/>
      <c r="HO1" s="31"/>
      <c r="HP1" s="31"/>
      <c r="HQ1" s="31"/>
      <c r="HR1" s="31"/>
      <c r="HS1" s="31"/>
      <c r="HT1" s="31"/>
      <c r="HU1" s="31"/>
      <c r="HV1" s="31"/>
      <c r="HW1" s="31"/>
      <c r="HX1" s="31"/>
      <c r="HY1" s="31"/>
      <c r="HZ1" s="31"/>
    </row>
    <row r="2" spans="1:235" ht="14.25" customHeight="1" x14ac:dyDescent="0.65">
      <c r="A2" s="32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4"/>
      <c r="O2" s="34"/>
      <c r="P2" s="34"/>
      <c r="Q2" s="34"/>
      <c r="R2" s="34"/>
      <c r="S2" s="34"/>
      <c r="T2" s="35"/>
      <c r="U2" s="36"/>
      <c r="V2" s="34"/>
      <c r="W2" s="34"/>
      <c r="X2" s="34"/>
      <c r="Y2" s="34"/>
      <c r="Z2" s="34"/>
      <c r="AA2" s="34"/>
      <c r="AB2" s="34"/>
      <c r="AC2" s="34"/>
      <c r="AD2" s="34"/>
      <c r="AE2" s="31"/>
      <c r="AF2" s="22" t="s">
        <v>27</v>
      </c>
      <c r="AG2" s="24" t="s">
        <v>28</v>
      </c>
      <c r="AH2" s="24" t="s">
        <v>29</v>
      </c>
      <c r="AI2" s="24" t="s">
        <v>30</v>
      </c>
      <c r="AJ2" s="24" t="s">
        <v>125</v>
      </c>
      <c r="AK2" s="24" t="s">
        <v>118</v>
      </c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/>
      <c r="CG2" s="34"/>
      <c r="CH2" s="34"/>
      <c r="CI2" s="34"/>
      <c r="CJ2" s="34"/>
      <c r="CK2" s="34"/>
      <c r="CL2" s="34"/>
      <c r="CM2" s="34"/>
      <c r="CN2" s="34"/>
      <c r="CO2" s="34"/>
      <c r="CP2" s="34"/>
      <c r="CQ2" s="34"/>
      <c r="CR2" s="34"/>
      <c r="CS2" s="34"/>
      <c r="CT2" s="34"/>
      <c r="CU2" s="34"/>
      <c r="CV2" s="34"/>
      <c r="CW2" s="34"/>
      <c r="CX2" s="34"/>
      <c r="CY2" s="34"/>
      <c r="CZ2" s="34"/>
      <c r="DA2" s="34"/>
      <c r="DB2" s="34"/>
      <c r="DC2" s="34"/>
      <c r="DD2" s="34"/>
      <c r="DE2" s="34"/>
      <c r="DF2" s="34"/>
      <c r="DG2" s="34"/>
      <c r="DH2" s="34"/>
      <c r="DI2" s="34"/>
      <c r="DJ2" s="34"/>
      <c r="DK2" s="34"/>
      <c r="DL2" s="34"/>
      <c r="DM2" s="34"/>
      <c r="DN2" s="34"/>
      <c r="DO2" s="34"/>
      <c r="DP2" s="34"/>
      <c r="DQ2" s="34"/>
      <c r="DR2" s="34"/>
      <c r="DS2" s="34"/>
      <c r="DT2" s="34"/>
      <c r="DU2" s="34"/>
      <c r="DV2" s="34"/>
      <c r="DW2" s="34"/>
      <c r="DX2" s="34"/>
      <c r="DY2" s="34"/>
      <c r="DZ2" s="34"/>
      <c r="EA2" s="34"/>
      <c r="EB2" s="34"/>
      <c r="EC2" s="34"/>
      <c r="ED2" s="34"/>
      <c r="EE2" s="34"/>
      <c r="EF2" s="34"/>
      <c r="EG2" s="34"/>
      <c r="EH2" s="34"/>
      <c r="EI2" s="34"/>
      <c r="EJ2" s="34"/>
      <c r="EK2" s="34"/>
      <c r="EL2" s="34"/>
      <c r="EM2" s="34"/>
      <c r="EN2" s="34"/>
      <c r="EO2" s="34"/>
      <c r="EP2" s="34"/>
      <c r="EQ2" s="34"/>
      <c r="ER2" s="34"/>
      <c r="ES2" s="34"/>
      <c r="ET2" s="34"/>
      <c r="EU2" s="34"/>
      <c r="EV2" s="34"/>
      <c r="EW2" s="34"/>
      <c r="EX2" s="34"/>
      <c r="EY2" s="34"/>
      <c r="EZ2" s="34"/>
      <c r="FA2" s="34"/>
      <c r="FB2" s="34"/>
      <c r="FC2" s="34"/>
      <c r="FD2" s="34"/>
      <c r="FE2" s="34"/>
      <c r="FF2" s="34"/>
      <c r="FG2" s="34"/>
      <c r="FH2" s="34"/>
      <c r="FI2" s="34"/>
      <c r="FJ2" s="34"/>
      <c r="FK2" s="34"/>
      <c r="FL2" s="34"/>
      <c r="FM2" s="34"/>
      <c r="FN2" s="34"/>
      <c r="FO2" s="34"/>
      <c r="FP2" s="34"/>
      <c r="FQ2" s="34"/>
      <c r="FR2" s="34"/>
      <c r="FS2" s="34"/>
      <c r="FT2" s="34"/>
      <c r="FU2" s="34"/>
      <c r="FV2" s="34"/>
      <c r="FW2" s="34"/>
      <c r="FX2" s="34"/>
      <c r="FY2" s="34"/>
      <c r="FZ2" s="34"/>
      <c r="GA2" s="34"/>
      <c r="GB2" s="34"/>
      <c r="GC2" s="34"/>
      <c r="GD2" s="34"/>
      <c r="GE2" s="34"/>
      <c r="GF2" s="34"/>
      <c r="GG2" s="34"/>
      <c r="GH2" s="34"/>
      <c r="GI2" s="34"/>
      <c r="GJ2" s="34"/>
      <c r="GK2" s="34"/>
      <c r="GL2" s="34"/>
      <c r="GM2" s="34"/>
      <c r="GN2" s="34"/>
      <c r="GO2" s="34"/>
      <c r="GP2" s="34"/>
      <c r="GQ2" s="34"/>
      <c r="GR2" s="34"/>
      <c r="GS2" s="34"/>
      <c r="GT2" s="34"/>
      <c r="GU2" s="34"/>
      <c r="GV2" s="34"/>
      <c r="GW2" s="34"/>
      <c r="GX2" s="34"/>
      <c r="GY2" s="34"/>
      <c r="GZ2" s="34"/>
      <c r="HA2" s="34"/>
      <c r="HB2" s="34"/>
      <c r="HC2" s="34"/>
      <c r="HD2" s="34"/>
      <c r="HE2" s="34"/>
      <c r="HF2" s="34"/>
      <c r="HG2" s="34"/>
      <c r="HH2" s="34"/>
      <c r="HI2" s="34"/>
      <c r="HJ2" s="34"/>
      <c r="HK2" s="34"/>
      <c r="HL2" s="34"/>
      <c r="HM2" s="34"/>
      <c r="HN2" s="34"/>
      <c r="HO2" s="34"/>
      <c r="HP2" s="34"/>
      <c r="HQ2" s="34"/>
      <c r="HR2" s="34"/>
      <c r="HS2" s="34"/>
      <c r="HT2" s="34"/>
      <c r="HU2" s="34"/>
      <c r="HV2" s="34"/>
      <c r="HW2" s="34"/>
      <c r="HX2" s="34"/>
      <c r="HY2" s="34"/>
      <c r="HZ2" s="34"/>
    </row>
    <row r="3" spans="1:235" ht="14.25" customHeight="1" x14ac:dyDescent="0.65">
      <c r="A3" s="32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8"/>
      <c r="T3" s="35">
        <f>SUM(T1:T2)</f>
        <v>9536000</v>
      </c>
      <c r="U3" s="36"/>
      <c r="V3" s="34"/>
      <c r="W3" s="34"/>
      <c r="X3" s="34"/>
      <c r="Y3" s="34"/>
      <c r="Z3" s="34"/>
      <c r="AA3" s="34"/>
      <c r="AB3" s="34"/>
      <c r="AC3" s="34"/>
      <c r="AD3" s="34"/>
      <c r="AE3" s="31"/>
      <c r="AF3" s="24" t="s">
        <v>31</v>
      </c>
      <c r="AG3" s="39"/>
      <c r="AH3" s="39">
        <v>600000</v>
      </c>
      <c r="AI3" s="39">
        <v>300000</v>
      </c>
      <c r="AJ3" s="39"/>
      <c r="AK3" s="39">
        <v>900000</v>
      </c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4"/>
      <c r="CB3" s="34"/>
      <c r="CC3" s="34"/>
      <c r="CD3" s="34"/>
      <c r="CE3" s="34"/>
      <c r="CF3" s="34"/>
      <c r="CG3" s="34"/>
      <c r="CH3" s="34"/>
      <c r="CI3" s="34"/>
      <c r="CJ3" s="34"/>
      <c r="CK3" s="34"/>
      <c r="CL3" s="34"/>
      <c r="CM3" s="34"/>
      <c r="CN3" s="34"/>
      <c r="CO3" s="34"/>
      <c r="CP3" s="34"/>
      <c r="CQ3" s="34"/>
      <c r="CR3" s="34"/>
      <c r="CS3" s="34"/>
      <c r="CT3" s="34"/>
      <c r="CU3" s="34"/>
      <c r="CV3" s="34"/>
      <c r="CW3" s="34"/>
      <c r="CX3" s="34"/>
      <c r="CY3" s="34"/>
      <c r="CZ3" s="34"/>
      <c r="DA3" s="34"/>
      <c r="DB3" s="34"/>
      <c r="DC3" s="34"/>
      <c r="DD3" s="34"/>
      <c r="DE3" s="34"/>
      <c r="DF3" s="34"/>
      <c r="DG3" s="34"/>
      <c r="DH3" s="34"/>
      <c r="DI3" s="34"/>
      <c r="DJ3" s="34"/>
      <c r="DK3" s="34"/>
      <c r="DL3" s="34"/>
      <c r="DM3" s="34"/>
      <c r="DN3" s="34"/>
      <c r="DO3" s="34"/>
      <c r="DP3" s="34"/>
      <c r="DQ3" s="34"/>
      <c r="DR3" s="34"/>
      <c r="DS3" s="34"/>
      <c r="DT3" s="34"/>
      <c r="DU3" s="34"/>
      <c r="DV3" s="34"/>
      <c r="DW3" s="34"/>
      <c r="DX3" s="34"/>
      <c r="DY3" s="34"/>
      <c r="DZ3" s="34"/>
      <c r="EA3" s="34"/>
      <c r="EB3" s="34"/>
      <c r="EC3" s="34"/>
      <c r="ED3" s="34"/>
      <c r="EE3" s="34"/>
      <c r="EF3" s="34"/>
      <c r="EG3" s="34"/>
      <c r="EH3" s="34"/>
      <c r="EI3" s="34"/>
      <c r="EJ3" s="34"/>
      <c r="EK3" s="34"/>
      <c r="EL3" s="34"/>
      <c r="EM3" s="34"/>
      <c r="EN3" s="34"/>
      <c r="EO3" s="34"/>
      <c r="EP3" s="34"/>
      <c r="EQ3" s="34"/>
      <c r="ER3" s="34"/>
      <c r="ES3" s="34"/>
      <c r="ET3" s="34"/>
      <c r="EU3" s="34"/>
      <c r="EV3" s="34"/>
      <c r="EW3" s="34"/>
      <c r="EX3" s="34"/>
      <c r="EY3" s="34"/>
      <c r="EZ3" s="34"/>
      <c r="FA3" s="34"/>
      <c r="FB3" s="34"/>
      <c r="FC3" s="34"/>
      <c r="FD3" s="34"/>
      <c r="FE3" s="34"/>
      <c r="FF3" s="34"/>
      <c r="FG3" s="34"/>
      <c r="FH3" s="34"/>
      <c r="FI3" s="34"/>
      <c r="FJ3" s="34"/>
      <c r="FK3" s="34"/>
      <c r="FL3" s="34"/>
      <c r="FM3" s="34"/>
      <c r="FN3" s="34"/>
      <c r="FO3" s="34"/>
      <c r="FP3" s="34"/>
      <c r="FQ3" s="34"/>
      <c r="FR3" s="34"/>
      <c r="FS3" s="34"/>
      <c r="FT3" s="34"/>
      <c r="FU3" s="34"/>
      <c r="FV3" s="34"/>
      <c r="FW3" s="34"/>
      <c r="FX3" s="34"/>
      <c r="FY3" s="34"/>
      <c r="FZ3" s="34"/>
      <c r="GA3" s="34"/>
      <c r="GB3" s="34"/>
      <c r="GC3" s="34"/>
      <c r="GD3" s="34"/>
      <c r="GE3" s="34"/>
      <c r="GF3" s="34"/>
      <c r="GG3" s="34"/>
      <c r="GH3" s="34"/>
      <c r="GI3" s="34"/>
      <c r="GJ3" s="34"/>
      <c r="GK3" s="34"/>
      <c r="GL3" s="34"/>
      <c r="GM3" s="34"/>
      <c r="GN3" s="34"/>
      <c r="GO3" s="34"/>
      <c r="GP3" s="34"/>
      <c r="GQ3" s="34"/>
      <c r="GR3" s="34"/>
      <c r="GS3" s="34"/>
      <c r="GT3" s="34"/>
      <c r="GU3" s="34"/>
      <c r="GV3" s="34"/>
      <c r="GW3" s="34"/>
      <c r="GX3" s="34"/>
      <c r="GY3" s="34"/>
      <c r="GZ3" s="34"/>
      <c r="HA3" s="34"/>
      <c r="HB3" s="34"/>
      <c r="HC3" s="34"/>
      <c r="HD3" s="34"/>
      <c r="HE3" s="34"/>
      <c r="HF3" s="34"/>
      <c r="HG3" s="34"/>
      <c r="HH3" s="34"/>
      <c r="HI3" s="34"/>
      <c r="HJ3" s="34"/>
      <c r="HK3" s="34"/>
      <c r="HL3" s="34"/>
      <c r="HM3" s="34"/>
      <c r="HN3" s="34"/>
      <c r="HO3" s="34"/>
      <c r="HP3" s="34"/>
      <c r="HQ3" s="34"/>
      <c r="HR3" s="34"/>
      <c r="HS3" s="34"/>
      <c r="HT3" s="34"/>
      <c r="HU3" s="34"/>
      <c r="HV3" s="34"/>
      <c r="HW3" s="34"/>
      <c r="HX3" s="34"/>
      <c r="HY3" s="34"/>
      <c r="HZ3" s="34"/>
    </row>
    <row r="4" spans="1:235" ht="14.15" customHeight="1" x14ac:dyDescent="0.65">
      <c r="A4" s="32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8"/>
      <c r="T4" s="35"/>
      <c r="U4" s="36"/>
      <c r="V4" s="34"/>
      <c r="W4" s="34"/>
      <c r="X4" s="34"/>
      <c r="Y4" s="34"/>
      <c r="Z4" s="34"/>
      <c r="AA4" s="34"/>
      <c r="AB4" s="34"/>
      <c r="AC4" s="34"/>
      <c r="AD4" s="34"/>
      <c r="AE4" s="31"/>
      <c r="AF4" s="24" t="s">
        <v>33</v>
      </c>
      <c r="AG4" s="39"/>
      <c r="AH4" s="39"/>
      <c r="AI4" s="39">
        <v>2630580</v>
      </c>
      <c r="AJ4" s="39"/>
      <c r="AK4" s="39">
        <v>2630580</v>
      </c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4"/>
      <c r="CR4" s="34"/>
      <c r="CS4" s="34"/>
      <c r="CT4" s="34"/>
      <c r="CU4" s="34"/>
      <c r="CV4" s="34"/>
      <c r="CW4" s="34"/>
      <c r="CX4" s="34"/>
      <c r="CY4" s="34"/>
      <c r="CZ4" s="34"/>
      <c r="DA4" s="34"/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4"/>
      <c r="DP4" s="34"/>
      <c r="DQ4" s="34"/>
      <c r="DR4" s="34"/>
      <c r="DS4" s="34"/>
      <c r="DT4" s="34"/>
      <c r="DU4" s="34"/>
      <c r="DV4" s="34"/>
      <c r="DW4" s="34"/>
      <c r="DX4" s="34"/>
      <c r="DY4" s="34"/>
      <c r="DZ4" s="34"/>
      <c r="EA4" s="34"/>
      <c r="EB4" s="34"/>
      <c r="EC4" s="34"/>
      <c r="ED4" s="34"/>
      <c r="EE4" s="34"/>
      <c r="EF4" s="34"/>
      <c r="EG4" s="34"/>
      <c r="EH4" s="34"/>
      <c r="EI4" s="34"/>
      <c r="EJ4" s="34"/>
      <c r="EK4" s="34"/>
      <c r="EL4" s="34"/>
      <c r="EM4" s="34"/>
      <c r="EN4" s="34"/>
      <c r="EO4" s="34"/>
      <c r="EP4" s="34"/>
      <c r="EQ4" s="34"/>
      <c r="ER4" s="34"/>
      <c r="ES4" s="34"/>
      <c r="ET4" s="34"/>
      <c r="EU4" s="34"/>
      <c r="EV4" s="34"/>
      <c r="EW4" s="34"/>
      <c r="EX4" s="34"/>
      <c r="EY4" s="34"/>
      <c r="EZ4" s="34"/>
      <c r="FA4" s="34"/>
      <c r="FB4" s="34"/>
      <c r="FC4" s="34"/>
      <c r="FD4" s="34"/>
      <c r="FE4" s="34"/>
      <c r="FF4" s="34"/>
      <c r="FG4" s="34"/>
      <c r="FH4" s="34"/>
      <c r="FI4" s="34"/>
      <c r="FJ4" s="34"/>
      <c r="FK4" s="34"/>
      <c r="FL4" s="34"/>
      <c r="FM4" s="34"/>
      <c r="FN4" s="34"/>
      <c r="FO4" s="34"/>
      <c r="FP4" s="34"/>
      <c r="FQ4" s="34"/>
      <c r="FR4" s="34"/>
      <c r="FS4" s="34"/>
      <c r="FT4" s="34"/>
      <c r="FU4" s="34"/>
      <c r="FV4" s="34"/>
      <c r="FW4" s="34"/>
      <c r="FX4" s="34"/>
      <c r="FY4" s="34"/>
      <c r="FZ4" s="34"/>
      <c r="GA4" s="34"/>
      <c r="GB4" s="34"/>
      <c r="GC4" s="34"/>
      <c r="GD4" s="34"/>
      <c r="GE4" s="34"/>
      <c r="GF4" s="34"/>
      <c r="GG4" s="34"/>
      <c r="GH4" s="34"/>
      <c r="GI4" s="34"/>
      <c r="GJ4" s="34"/>
      <c r="GK4" s="34"/>
      <c r="GL4" s="34"/>
      <c r="GM4" s="34"/>
      <c r="GN4" s="34"/>
      <c r="GO4" s="34"/>
      <c r="GP4" s="34"/>
      <c r="GQ4" s="34"/>
      <c r="GR4" s="34"/>
      <c r="GS4" s="34"/>
      <c r="GT4" s="34"/>
      <c r="GU4" s="34"/>
      <c r="GV4" s="34"/>
      <c r="GW4" s="34"/>
      <c r="GX4" s="34"/>
      <c r="GY4" s="34"/>
      <c r="GZ4" s="34"/>
      <c r="HA4" s="34"/>
      <c r="HB4" s="34"/>
      <c r="HC4" s="34"/>
      <c r="HD4" s="34"/>
      <c r="HE4" s="34"/>
      <c r="HF4" s="34"/>
      <c r="HG4" s="34"/>
      <c r="HH4" s="34"/>
      <c r="HI4" s="34"/>
      <c r="HJ4" s="34"/>
      <c r="HK4" s="34"/>
      <c r="HL4" s="34"/>
      <c r="HM4" s="34"/>
      <c r="HN4" s="34"/>
      <c r="HO4" s="34"/>
      <c r="HP4" s="34"/>
      <c r="HQ4" s="34"/>
      <c r="HR4" s="34"/>
      <c r="HS4" s="34"/>
      <c r="HT4" s="34"/>
      <c r="HU4" s="34"/>
      <c r="HV4" s="34"/>
      <c r="HW4" s="34"/>
      <c r="HX4" s="34"/>
      <c r="HY4" s="34"/>
      <c r="HZ4" s="34"/>
    </row>
    <row r="5" spans="1:235" ht="19.5" customHeight="1" x14ac:dyDescent="0.45">
      <c r="A5" s="40" t="s">
        <v>164</v>
      </c>
      <c r="B5" s="40" t="s">
        <v>6</v>
      </c>
      <c r="C5" s="40" t="s">
        <v>155</v>
      </c>
      <c r="D5" s="40" t="s">
        <v>147</v>
      </c>
      <c r="E5" s="40" t="s">
        <v>148</v>
      </c>
      <c r="F5" s="40" t="s">
        <v>22</v>
      </c>
      <c r="G5" s="40" t="s">
        <v>156</v>
      </c>
      <c r="H5" s="40" t="s">
        <v>157</v>
      </c>
      <c r="I5" s="40" t="s">
        <v>158</v>
      </c>
      <c r="J5" s="40" t="s">
        <v>159</v>
      </c>
      <c r="K5" s="40" t="s">
        <v>160</v>
      </c>
      <c r="L5" s="40" t="s">
        <v>161</v>
      </c>
      <c r="M5" s="40" t="s">
        <v>162</v>
      </c>
      <c r="N5" s="40" t="s">
        <v>163</v>
      </c>
      <c r="O5" s="40" t="s">
        <v>168</v>
      </c>
      <c r="P5" s="41"/>
      <c r="Q5" s="41"/>
      <c r="R5" s="41"/>
      <c r="S5" s="38"/>
      <c r="T5" s="35"/>
      <c r="U5" s="36"/>
      <c r="V5" s="34"/>
      <c r="W5" s="34"/>
      <c r="X5" s="34"/>
      <c r="Y5" s="34"/>
      <c r="Z5" s="34"/>
      <c r="AA5" s="34"/>
      <c r="AB5" s="34"/>
      <c r="AC5" s="34"/>
      <c r="AD5" s="34"/>
      <c r="AE5" s="31"/>
      <c r="AF5" s="24" t="s">
        <v>35</v>
      </c>
      <c r="AG5" s="39"/>
      <c r="AH5" s="39"/>
      <c r="AI5" s="39">
        <v>360000</v>
      </c>
      <c r="AJ5" s="39"/>
      <c r="AK5" s="39">
        <v>360000</v>
      </c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  <c r="EY5" s="34"/>
      <c r="EZ5" s="34"/>
      <c r="FA5" s="34"/>
      <c r="FB5" s="34"/>
      <c r="FC5" s="34"/>
      <c r="FD5" s="34"/>
      <c r="FE5" s="34"/>
      <c r="FF5" s="34"/>
      <c r="FG5" s="34"/>
      <c r="FH5" s="34"/>
      <c r="FI5" s="34"/>
      <c r="FJ5" s="34"/>
      <c r="FK5" s="34"/>
      <c r="FL5" s="34"/>
      <c r="FM5" s="34"/>
      <c r="FN5" s="34"/>
      <c r="FO5" s="34"/>
      <c r="FP5" s="34"/>
      <c r="FQ5" s="34"/>
      <c r="FR5" s="34"/>
      <c r="FS5" s="34"/>
      <c r="FT5" s="34"/>
      <c r="FU5" s="34"/>
      <c r="FV5" s="34"/>
      <c r="FW5" s="34"/>
      <c r="FX5" s="34"/>
      <c r="FY5" s="34"/>
      <c r="FZ5" s="34"/>
      <c r="GA5" s="34"/>
      <c r="GB5" s="34"/>
      <c r="GC5" s="34"/>
      <c r="GD5" s="34"/>
      <c r="GE5" s="34"/>
      <c r="GF5" s="34"/>
      <c r="GG5" s="34"/>
      <c r="GH5" s="34"/>
      <c r="GI5" s="34"/>
      <c r="GJ5" s="34"/>
      <c r="GK5" s="34"/>
      <c r="GL5" s="34"/>
      <c r="GM5" s="34"/>
      <c r="GN5" s="34"/>
      <c r="GO5" s="34"/>
      <c r="GP5" s="34"/>
      <c r="GQ5" s="34"/>
      <c r="GR5" s="34"/>
      <c r="GS5" s="34"/>
      <c r="GT5" s="34"/>
      <c r="GU5" s="34"/>
      <c r="GV5" s="34"/>
      <c r="GW5" s="34"/>
      <c r="GX5" s="34"/>
      <c r="GY5" s="34"/>
      <c r="GZ5" s="34"/>
      <c r="HA5" s="34"/>
      <c r="HB5" s="34"/>
      <c r="HC5" s="34"/>
      <c r="HD5" s="34"/>
      <c r="HE5" s="34"/>
      <c r="HF5" s="34"/>
      <c r="HG5" s="34"/>
      <c r="HH5" s="34"/>
      <c r="HI5" s="34"/>
      <c r="HJ5" s="34"/>
      <c r="HK5" s="34"/>
      <c r="HL5" s="34"/>
      <c r="HM5" s="34"/>
      <c r="HN5" s="34"/>
      <c r="HO5" s="34"/>
      <c r="HP5" s="34"/>
      <c r="HQ5" s="34"/>
      <c r="HR5" s="34"/>
      <c r="HS5" s="34"/>
      <c r="HT5" s="34"/>
      <c r="HU5" s="34"/>
      <c r="HV5" s="34"/>
      <c r="HW5" s="34"/>
      <c r="HX5" s="34"/>
      <c r="HY5" s="34"/>
      <c r="HZ5" s="34"/>
    </row>
    <row r="6" spans="1:235" ht="14.25" customHeight="1" x14ac:dyDescent="0.35">
      <c r="A6" s="40"/>
      <c r="B6" s="42" t="s">
        <v>34</v>
      </c>
      <c r="C6" s="43">
        <f>O1</f>
        <v>45992</v>
      </c>
      <c r="D6" s="43">
        <f t="shared" ref="D6:M6" si="0">DATE(YEAR(C6),MONTH(C6)+1,1)</f>
        <v>46023</v>
      </c>
      <c r="E6" s="43">
        <f t="shared" si="0"/>
        <v>46054</v>
      </c>
      <c r="F6" s="43">
        <f t="shared" si="0"/>
        <v>46082</v>
      </c>
      <c r="G6" s="43">
        <f t="shared" si="0"/>
        <v>46113</v>
      </c>
      <c r="H6" s="43">
        <f t="shared" si="0"/>
        <v>46143</v>
      </c>
      <c r="I6" s="43">
        <f t="shared" si="0"/>
        <v>46174</v>
      </c>
      <c r="J6" s="43">
        <f t="shared" si="0"/>
        <v>46204</v>
      </c>
      <c r="K6" s="43">
        <f t="shared" si="0"/>
        <v>46235</v>
      </c>
      <c r="L6" s="43">
        <f t="shared" si="0"/>
        <v>46266</v>
      </c>
      <c r="M6" s="43">
        <f t="shared" si="0"/>
        <v>46296</v>
      </c>
      <c r="N6" s="43">
        <f>DATE(YEAR(M6),MONTH(M6)+1,1)</f>
        <v>46327</v>
      </c>
      <c r="O6" s="43">
        <f>DATE(YEAR(N6),MONTH(N6)+1,1)</f>
        <v>46357</v>
      </c>
      <c r="P6" s="44"/>
      <c r="Q6" s="44"/>
      <c r="R6" s="44"/>
      <c r="S6" s="27"/>
      <c r="T6" s="30"/>
      <c r="U6" s="27"/>
      <c r="V6" s="31"/>
      <c r="W6" s="31"/>
      <c r="X6" s="31"/>
      <c r="Y6" s="31"/>
      <c r="Z6" s="31"/>
      <c r="AA6" s="31"/>
      <c r="AB6" s="31"/>
      <c r="AC6" s="31"/>
      <c r="AD6" s="31"/>
      <c r="AE6" s="31"/>
      <c r="AF6" s="24" t="s">
        <v>37</v>
      </c>
      <c r="AG6" s="39"/>
      <c r="AH6" s="39"/>
      <c r="AI6" s="39">
        <v>680000</v>
      </c>
      <c r="AJ6" s="39"/>
      <c r="AK6" s="39">
        <v>680000</v>
      </c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  <c r="FU6" s="31"/>
      <c r="FV6" s="31"/>
      <c r="FW6" s="31"/>
      <c r="FX6" s="31"/>
      <c r="FY6" s="31"/>
      <c r="FZ6" s="31"/>
      <c r="GA6" s="31"/>
      <c r="GB6" s="31"/>
      <c r="GC6" s="31"/>
      <c r="GD6" s="31"/>
      <c r="GE6" s="31"/>
      <c r="GF6" s="31"/>
      <c r="GG6" s="31"/>
      <c r="GH6" s="31"/>
      <c r="GI6" s="31"/>
      <c r="GJ6" s="31"/>
      <c r="GK6" s="31"/>
      <c r="GL6" s="31"/>
      <c r="GM6" s="31"/>
      <c r="GN6" s="31"/>
      <c r="GO6" s="31"/>
      <c r="GP6" s="31"/>
      <c r="GQ6" s="31"/>
      <c r="GR6" s="31"/>
      <c r="GS6" s="31"/>
      <c r="GT6" s="31"/>
      <c r="GU6" s="31"/>
      <c r="GV6" s="31"/>
      <c r="GW6" s="31"/>
      <c r="GX6" s="31"/>
      <c r="GY6" s="31"/>
      <c r="GZ6" s="31"/>
      <c r="HA6" s="31"/>
      <c r="HB6" s="31"/>
      <c r="HC6" s="31"/>
      <c r="HD6" s="31"/>
      <c r="HE6" s="31"/>
      <c r="HF6" s="31"/>
      <c r="HG6" s="31"/>
      <c r="HH6" s="31"/>
      <c r="HI6" s="31"/>
      <c r="HJ6" s="31"/>
      <c r="HK6" s="31"/>
      <c r="HL6" s="31"/>
      <c r="HM6" s="31"/>
      <c r="HN6" s="31"/>
      <c r="HO6" s="31"/>
      <c r="HP6" s="31"/>
      <c r="HQ6" s="31"/>
      <c r="HR6" s="31"/>
      <c r="HS6" s="31"/>
      <c r="HT6" s="31"/>
      <c r="HU6" s="31"/>
      <c r="HV6" s="31"/>
      <c r="HW6" s="31"/>
      <c r="HX6" s="31"/>
      <c r="HY6" s="31"/>
      <c r="HZ6" s="31"/>
    </row>
    <row r="7" spans="1:235" ht="14.25" customHeight="1" x14ac:dyDescent="0.35">
      <c r="A7" s="45" t="s">
        <v>36</v>
      </c>
      <c r="B7" s="46">
        <v>0</v>
      </c>
      <c r="C7" s="46">
        <f t="shared" ref="C7:O7" si="1">B75</f>
        <v>80000000</v>
      </c>
      <c r="D7" s="46">
        <f t="shared" si="1"/>
        <v>-7058958.900000006</v>
      </c>
      <c r="E7" s="46">
        <f t="shared" si="1"/>
        <v>-808596</v>
      </c>
      <c r="F7" s="46">
        <f t="shared" si="1"/>
        <v>3356765</v>
      </c>
      <c r="G7" s="46">
        <f t="shared" si="1"/>
        <v>20093279.600000001</v>
      </c>
      <c r="H7" s="46">
        <f t="shared" si="1"/>
        <v>29245997.099999994</v>
      </c>
      <c r="I7" s="46">
        <f t="shared" si="1"/>
        <v>34286975.599999994</v>
      </c>
      <c r="J7" s="46">
        <f t="shared" si="1"/>
        <v>21471313.099999994</v>
      </c>
      <c r="K7" s="46">
        <f t="shared" si="1"/>
        <v>74467365.599999994</v>
      </c>
      <c r="L7" s="46">
        <f t="shared" si="1"/>
        <v>132469634.09999999</v>
      </c>
      <c r="M7" s="46">
        <f t="shared" si="1"/>
        <v>197471902.59999999</v>
      </c>
      <c r="N7" s="46">
        <f t="shared" si="1"/>
        <v>262474171.10000002</v>
      </c>
      <c r="O7" s="46">
        <f t="shared" si="1"/>
        <v>327476439.60000002</v>
      </c>
      <c r="P7" s="47"/>
      <c r="Q7" s="47"/>
      <c r="R7" s="47"/>
      <c r="S7" s="27"/>
      <c r="T7" s="30"/>
      <c r="U7" s="27"/>
      <c r="V7" s="31"/>
      <c r="W7" s="31"/>
      <c r="X7" s="31"/>
      <c r="Y7" s="31"/>
      <c r="Z7" s="31"/>
      <c r="AA7" s="31"/>
      <c r="AB7" s="31"/>
      <c r="AC7" s="31"/>
      <c r="AD7" s="31"/>
      <c r="AE7" s="31"/>
      <c r="AF7" s="24" t="s">
        <v>44</v>
      </c>
      <c r="AG7" s="39"/>
      <c r="AH7" s="39">
        <v>866000</v>
      </c>
      <c r="AI7" s="39"/>
      <c r="AJ7" s="39"/>
      <c r="AK7" s="39">
        <v>866000</v>
      </c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  <c r="EY7" s="31"/>
      <c r="EZ7" s="31"/>
      <c r="FA7" s="31"/>
      <c r="FB7" s="31"/>
      <c r="FC7" s="31"/>
      <c r="FD7" s="31"/>
      <c r="FE7" s="31"/>
      <c r="FF7" s="31"/>
      <c r="FG7" s="31"/>
      <c r="FH7" s="31"/>
      <c r="FI7" s="31"/>
      <c r="FJ7" s="31"/>
      <c r="FK7" s="31"/>
      <c r="FL7" s="31"/>
      <c r="FM7" s="31"/>
      <c r="FN7" s="31"/>
      <c r="FO7" s="31"/>
      <c r="FP7" s="31"/>
      <c r="FQ7" s="31"/>
      <c r="FR7" s="31"/>
      <c r="FS7" s="31"/>
      <c r="FT7" s="31"/>
      <c r="FU7" s="31"/>
      <c r="FV7" s="31"/>
      <c r="FW7" s="31"/>
      <c r="FX7" s="31"/>
      <c r="FY7" s="31"/>
      <c r="FZ7" s="31"/>
      <c r="GA7" s="31"/>
      <c r="GB7" s="31"/>
      <c r="GC7" s="31"/>
      <c r="GD7" s="31"/>
      <c r="GE7" s="31"/>
      <c r="GF7" s="31"/>
      <c r="GG7" s="31"/>
      <c r="GH7" s="31"/>
      <c r="GI7" s="31"/>
      <c r="GJ7" s="31"/>
      <c r="GK7" s="31"/>
      <c r="GL7" s="31"/>
      <c r="GM7" s="31"/>
      <c r="GN7" s="31"/>
      <c r="GO7" s="31"/>
      <c r="GP7" s="31"/>
      <c r="GQ7" s="31"/>
      <c r="GR7" s="31"/>
      <c r="GS7" s="31"/>
      <c r="GT7" s="31"/>
      <c r="GU7" s="31"/>
      <c r="GV7" s="31"/>
      <c r="GW7" s="31"/>
      <c r="GX7" s="31"/>
      <c r="GY7" s="31"/>
      <c r="GZ7" s="31"/>
      <c r="HA7" s="31"/>
      <c r="HB7" s="31"/>
      <c r="HC7" s="31"/>
      <c r="HD7" s="31"/>
      <c r="HE7" s="31"/>
      <c r="HF7" s="31"/>
      <c r="HG7" s="31"/>
      <c r="HH7" s="31"/>
      <c r="HI7" s="31"/>
      <c r="HJ7" s="31"/>
      <c r="HK7" s="31"/>
      <c r="HL7" s="31"/>
      <c r="HM7" s="31"/>
      <c r="HN7" s="31"/>
      <c r="HO7" s="31"/>
      <c r="HP7" s="31"/>
      <c r="HQ7" s="31"/>
      <c r="HR7" s="31"/>
      <c r="HS7" s="31"/>
      <c r="HT7" s="31"/>
      <c r="HU7" s="31"/>
      <c r="HV7" s="31"/>
      <c r="HW7" s="31"/>
      <c r="HX7" s="31"/>
      <c r="HY7" s="31"/>
      <c r="HZ7" s="31"/>
    </row>
    <row r="8" spans="1:235" ht="14.25" customHeight="1" x14ac:dyDescent="0.35">
      <c r="A8" s="48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6"/>
      <c r="P8" s="47"/>
      <c r="Q8" s="47"/>
      <c r="R8" s="47"/>
      <c r="S8" s="27"/>
      <c r="T8" s="50" t="s">
        <v>38</v>
      </c>
      <c r="U8" s="50" t="s">
        <v>39</v>
      </c>
      <c r="V8" s="50" t="s">
        <v>40</v>
      </c>
      <c r="W8" s="50" t="s">
        <v>39</v>
      </c>
      <c r="X8" s="50" t="s">
        <v>40</v>
      </c>
      <c r="Y8" s="50" t="s">
        <v>41</v>
      </c>
      <c r="Z8" s="50" t="s">
        <v>42</v>
      </c>
      <c r="AA8" s="50" t="s">
        <v>26</v>
      </c>
      <c r="AB8" s="50" t="s">
        <v>43</v>
      </c>
      <c r="AC8" s="50" t="s">
        <v>27</v>
      </c>
      <c r="AD8" s="31"/>
      <c r="AE8" s="31"/>
      <c r="AF8" s="24" t="s">
        <v>48</v>
      </c>
      <c r="AG8" s="39"/>
      <c r="AH8" s="39">
        <v>800000</v>
      </c>
      <c r="AI8" s="39"/>
      <c r="AJ8" s="39"/>
      <c r="AK8" s="39">
        <v>800000</v>
      </c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  <c r="EY8" s="31"/>
      <c r="EZ8" s="31"/>
      <c r="FA8" s="31"/>
      <c r="FB8" s="31"/>
      <c r="FC8" s="31"/>
      <c r="FD8" s="31"/>
      <c r="FE8" s="31"/>
      <c r="FF8" s="31"/>
      <c r="FG8" s="31"/>
      <c r="FH8" s="31"/>
      <c r="FI8" s="31"/>
      <c r="FJ8" s="31"/>
      <c r="FK8" s="31"/>
      <c r="FL8" s="31"/>
      <c r="FM8" s="31"/>
      <c r="FN8" s="31"/>
      <c r="FO8" s="31"/>
      <c r="FP8" s="31"/>
      <c r="FQ8" s="31"/>
      <c r="FR8" s="31"/>
      <c r="FS8" s="31"/>
      <c r="FT8" s="31"/>
      <c r="FU8" s="31"/>
      <c r="FV8" s="31"/>
      <c r="FW8" s="31"/>
      <c r="FX8" s="31"/>
      <c r="FY8" s="31"/>
      <c r="FZ8" s="31"/>
      <c r="GA8" s="31"/>
      <c r="GB8" s="31"/>
      <c r="GC8" s="31"/>
      <c r="GD8" s="31"/>
      <c r="GE8" s="31"/>
      <c r="GF8" s="31"/>
      <c r="GG8" s="31"/>
      <c r="GH8" s="31"/>
      <c r="GI8" s="31"/>
      <c r="GJ8" s="31"/>
      <c r="GK8" s="31"/>
      <c r="GL8" s="31"/>
      <c r="GM8" s="31"/>
      <c r="GN8" s="31"/>
      <c r="GO8" s="31"/>
      <c r="GP8" s="31"/>
      <c r="GQ8" s="31"/>
      <c r="GR8" s="31"/>
      <c r="GS8" s="31"/>
      <c r="GT8" s="31"/>
      <c r="GU8" s="31"/>
      <c r="GV8" s="31"/>
      <c r="GW8" s="31"/>
      <c r="GX8" s="31"/>
      <c r="GY8" s="31"/>
      <c r="GZ8" s="31"/>
      <c r="HA8" s="31"/>
      <c r="HB8" s="31"/>
      <c r="HC8" s="31"/>
      <c r="HD8" s="31"/>
      <c r="HE8" s="31"/>
      <c r="HF8" s="31"/>
      <c r="HG8" s="31"/>
      <c r="HH8" s="31"/>
      <c r="HI8" s="31"/>
      <c r="HJ8" s="31"/>
      <c r="HK8" s="31"/>
      <c r="HL8" s="31"/>
      <c r="HM8" s="31"/>
      <c r="HN8" s="31"/>
      <c r="HO8" s="31"/>
      <c r="HP8" s="31"/>
      <c r="HQ8" s="31"/>
      <c r="HR8" s="31"/>
      <c r="HS8" s="31"/>
      <c r="HT8" s="31"/>
      <c r="HU8" s="31"/>
      <c r="HV8" s="31"/>
      <c r="HW8" s="31"/>
      <c r="HX8" s="31"/>
      <c r="HY8" s="31"/>
      <c r="HZ8" s="31"/>
      <c r="IA8" s="31"/>
    </row>
    <row r="9" spans="1:235" ht="14.25" customHeight="1" x14ac:dyDescent="0.35">
      <c r="A9" s="51" t="s">
        <v>45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3"/>
      <c r="P9" s="47"/>
      <c r="Q9" s="47"/>
      <c r="R9" s="47"/>
      <c r="S9" s="27"/>
      <c r="T9" s="30" t="s">
        <v>46</v>
      </c>
      <c r="U9" s="54">
        <v>45992</v>
      </c>
      <c r="V9" s="54"/>
      <c r="W9" s="31">
        <v>1400000</v>
      </c>
      <c r="X9" s="54"/>
      <c r="Y9" s="54"/>
      <c r="Z9" s="31">
        <v>1400000</v>
      </c>
      <c r="AA9" s="31" t="s">
        <v>29</v>
      </c>
      <c r="AB9" s="27">
        <f t="shared" ref="AB9:AB34" si="2">+Z9</f>
        <v>1400000</v>
      </c>
      <c r="AC9" s="31" t="s">
        <v>47</v>
      </c>
      <c r="AD9" s="31"/>
      <c r="AE9" s="31"/>
      <c r="AF9" s="24" t="s">
        <v>47</v>
      </c>
      <c r="AG9" s="39"/>
      <c r="AH9" s="39">
        <v>1400000</v>
      </c>
      <c r="AI9" s="39">
        <v>1068524.7999999998</v>
      </c>
      <c r="AJ9" s="39"/>
      <c r="AK9" s="39">
        <v>2468524.7999999998</v>
      </c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31"/>
      <c r="FL9" s="31"/>
      <c r="FM9" s="31"/>
      <c r="FN9" s="31"/>
      <c r="FO9" s="31"/>
      <c r="FP9" s="31"/>
      <c r="FQ9" s="31"/>
      <c r="FR9" s="31"/>
      <c r="FS9" s="31"/>
      <c r="FT9" s="31"/>
      <c r="FU9" s="31"/>
      <c r="FV9" s="31"/>
      <c r="FW9" s="31"/>
      <c r="FX9" s="31"/>
      <c r="FY9" s="31"/>
      <c r="FZ9" s="31"/>
      <c r="GA9" s="31"/>
      <c r="GB9" s="31"/>
      <c r="GC9" s="31"/>
      <c r="GD9" s="31"/>
      <c r="GE9" s="31"/>
      <c r="GF9" s="31"/>
      <c r="GG9" s="31"/>
      <c r="GH9" s="31"/>
      <c r="GI9" s="31"/>
      <c r="GJ9" s="31"/>
      <c r="GK9" s="31"/>
      <c r="GL9" s="31"/>
      <c r="GM9" s="31"/>
      <c r="GN9" s="31"/>
      <c r="GO9" s="31"/>
      <c r="GP9" s="31"/>
      <c r="GQ9" s="31"/>
      <c r="GR9" s="31"/>
      <c r="GS9" s="31"/>
      <c r="GT9" s="31"/>
      <c r="GU9" s="31"/>
      <c r="GV9" s="31"/>
      <c r="GW9" s="31"/>
      <c r="GX9" s="31"/>
      <c r="GY9" s="31"/>
      <c r="GZ9" s="31"/>
      <c r="HA9" s="31"/>
      <c r="HB9" s="31"/>
      <c r="HC9" s="31"/>
      <c r="HD9" s="31"/>
      <c r="HE9" s="31"/>
      <c r="HF9" s="31"/>
      <c r="HG9" s="31"/>
      <c r="HH9" s="31"/>
      <c r="HI9" s="31"/>
      <c r="HJ9" s="31"/>
      <c r="HK9" s="31"/>
      <c r="HL9" s="31"/>
      <c r="HM9" s="31"/>
      <c r="HN9" s="31"/>
      <c r="HO9" s="31"/>
      <c r="HP9" s="31"/>
      <c r="HQ9" s="31"/>
      <c r="HR9" s="31"/>
      <c r="HS9" s="31"/>
      <c r="HT9" s="31"/>
      <c r="HU9" s="31"/>
      <c r="HV9" s="31"/>
      <c r="HW9" s="31"/>
      <c r="HX9" s="31"/>
      <c r="HY9" s="31"/>
      <c r="HZ9" s="31"/>
      <c r="IA9" s="31"/>
    </row>
    <row r="10" spans="1:235" ht="14.25" customHeight="1" x14ac:dyDescent="0.35">
      <c r="A10" s="55" t="s">
        <v>49</v>
      </c>
      <c r="B10" s="46">
        <v>72000000</v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7"/>
      <c r="Q10" s="47"/>
      <c r="R10" s="47"/>
      <c r="S10" s="27"/>
      <c r="T10" s="30" t="s">
        <v>50</v>
      </c>
      <c r="U10" s="54">
        <v>45992</v>
      </c>
      <c r="V10" s="54"/>
      <c r="W10" s="31">
        <v>866000</v>
      </c>
      <c r="X10" s="54"/>
      <c r="Y10" s="54"/>
      <c r="Z10" s="31">
        <v>866000</v>
      </c>
      <c r="AA10" s="31" t="s">
        <v>29</v>
      </c>
      <c r="AB10" s="27">
        <f t="shared" si="2"/>
        <v>866000</v>
      </c>
      <c r="AC10" s="31" t="s">
        <v>44</v>
      </c>
      <c r="AD10" s="31"/>
      <c r="AE10" s="31"/>
      <c r="AF10" s="24" t="s">
        <v>53</v>
      </c>
      <c r="AG10" s="39">
        <v>687094</v>
      </c>
      <c r="AH10" s="39">
        <v>1630000</v>
      </c>
      <c r="AI10" s="39">
        <v>1399708.1</v>
      </c>
      <c r="AJ10" s="39"/>
      <c r="AK10" s="39">
        <v>3716802.1</v>
      </c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  <c r="EY10" s="31"/>
      <c r="EZ10" s="31"/>
      <c r="FA10" s="31"/>
      <c r="FB10" s="31"/>
      <c r="FC10" s="31"/>
      <c r="FD10" s="31"/>
      <c r="FE10" s="31"/>
      <c r="FF10" s="31"/>
      <c r="FG10" s="31"/>
      <c r="FH10" s="31"/>
      <c r="FI10" s="31"/>
      <c r="FJ10" s="31"/>
      <c r="FK10" s="31"/>
      <c r="FL10" s="31"/>
      <c r="FM10" s="31"/>
      <c r="FN10" s="31"/>
      <c r="FO10" s="31"/>
      <c r="FP10" s="31"/>
      <c r="FQ10" s="31"/>
      <c r="FR10" s="31"/>
      <c r="FS10" s="31"/>
      <c r="FT10" s="31"/>
      <c r="FU10" s="31"/>
      <c r="FV10" s="31"/>
      <c r="FW10" s="31"/>
      <c r="FX10" s="31"/>
      <c r="FY10" s="31"/>
      <c r="FZ10" s="31"/>
      <c r="GA10" s="31"/>
      <c r="GB10" s="31"/>
      <c r="GC10" s="31"/>
      <c r="GD10" s="31"/>
      <c r="GE10" s="31"/>
      <c r="GF10" s="31"/>
      <c r="GG10" s="31"/>
      <c r="GH10" s="31"/>
      <c r="GI10" s="31"/>
      <c r="GJ10" s="31"/>
      <c r="GK10" s="31"/>
      <c r="GL10" s="31"/>
      <c r="GM10" s="31"/>
      <c r="GN10" s="31"/>
      <c r="GO10" s="31"/>
      <c r="GP10" s="31"/>
      <c r="GQ10" s="31"/>
      <c r="GR10" s="31"/>
      <c r="GS10" s="31"/>
      <c r="GT10" s="31"/>
      <c r="GU10" s="31"/>
      <c r="GV10" s="31"/>
      <c r="GW10" s="31"/>
      <c r="GX10" s="31"/>
      <c r="GY10" s="31"/>
      <c r="GZ10" s="31"/>
      <c r="HA10" s="31"/>
      <c r="HB10" s="31"/>
      <c r="HC10" s="31"/>
      <c r="HD10" s="31"/>
      <c r="HE10" s="31"/>
      <c r="HF10" s="31"/>
      <c r="HG10" s="31"/>
      <c r="HH10" s="31"/>
      <c r="HI10" s="31"/>
      <c r="HJ10" s="31"/>
      <c r="HK10" s="31"/>
      <c r="HL10" s="31"/>
      <c r="HM10" s="31"/>
      <c r="HN10" s="31"/>
      <c r="HO10" s="31"/>
      <c r="HP10" s="31"/>
      <c r="HQ10" s="31"/>
      <c r="HR10" s="31"/>
      <c r="HS10" s="31"/>
      <c r="HT10" s="31"/>
      <c r="HU10" s="31"/>
      <c r="HV10" s="31"/>
      <c r="HW10" s="31"/>
      <c r="HX10" s="31"/>
      <c r="HY10" s="31"/>
      <c r="HZ10" s="31"/>
      <c r="IA10" s="31"/>
    </row>
    <row r="11" spans="1:235" ht="14.25" customHeight="1" x14ac:dyDescent="0.35">
      <c r="A11" s="55" t="s">
        <v>51</v>
      </c>
      <c r="B11" s="46">
        <v>8000000</v>
      </c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7"/>
      <c r="Q11" s="47"/>
      <c r="R11" s="47"/>
      <c r="S11" s="27"/>
      <c r="T11" s="30" t="s">
        <v>52</v>
      </c>
      <c r="U11" s="54">
        <v>45992</v>
      </c>
      <c r="V11" s="54"/>
      <c r="W11" s="31">
        <v>800000</v>
      </c>
      <c r="X11" s="54"/>
      <c r="Y11" s="54"/>
      <c r="Z11" s="31">
        <v>800000</v>
      </c>
      <c r="AA11" s="31" t="s">
        <v>29</v>
      </c>
      <c r="AB11" s="27">
        <f t="shared" si="2"/>
        <v>800000</v>
      </c>
      <c r="AC11" s="31" t="s">
        <v>48</v>
      </c>
      <c r="AD11" s="31"/>
      <c r="AE11" s="31"/>
      <c r="AF11" s="24" t="s">
        <v>57</v>
      </c>
      <c r="AG11" s="39"/>
      <c r="AH11" s="39"/>
      <c r="AI11" s="39">
        <v>276000</v>
      </c>
      <c r="AJ11" s="39"/>
      <c r="AK11" s="39">
        <v>276000</v>
      </c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  <c r="EY11" s="31"/>
      <c r="EZ11" s="31"/>
      <c r="FA11" s="31"/>
      <c r="FB11" s="31"/>
      <c r="FC11" s="31"/>
      <c r="FD11" s="31"/>
      <c r="FE11" s="31"/>
      <c r="FF11" s="31"/>
      <c r="FG11" s="31"/>
      <c r="FH11" s="31"/>
      <c r="FI11" s="31"/>
      <c r="FJ11" s="31"/>
      <c r="FK11" s="31"/>
      <c r="FL11" s="31"/>
      <c r="FM11" s="31"/>
      <c r="FN11" s="31"/>
      <c r="FO11" s="31"/>
      <c r="FP11" s="31"/>
      <c r="FQ11" s="31"/>
      <c r="FR11" s="31"/>
      <c r="FS11" s="31"/>
      <c r="FT11" s="31"/>
      <c r="FU11" s="31"/>
      <c r="FV11" s="31"/>
      <c r="FW11" s="31"/>
      <c r="FX11" s="31"/>
      <c r="FY11" s="31"/>
      <c r="FZ11" s="31"/>
      <c r="GA11" s="31"/>
      <c r="GB11" s="31"/>
      <c r="GC11" s="31"/>
      <c r="GD11" s="31"/>
      <c r="GE11" s="31"/>
      <c r="GF11" s="31"/>
      <c r="GG11" s="31"/>
      <c r="GH11" s="31"/>
      <c r="GI11" s="31"/>
      <c r="GJ11" s="31"/>
      <c r="GK11" s="31"/>
      <c r="GL11" s="31"/>
      <c r="GM11" s="31"/>
      <c r="GN11" s="31"/>
      <c r="GO11" s="31"/>
      <c r="GP11" s="31"/>
      <c r="GQ11" s="31"/>
      <c r="GR11" s="31"/>
      <c r="GS11" s="31"/>
      <c r="GT11" s="31"/>
      <c r="GU11" s="31"/>
      <c r="GV11" s="31"/>
      <c r="GW11" s="31"/>
      <c r="GX11" s="31"/>
      <c r="GY11" s="31"/>
      <c r="GZ11" s="31"/>
      <c r="HA11" s="31"/>
      <c r="HB11" s="31"/>
      <c r="HC11" s="31"/>
      <c r="HD11" s="31"/>
      <c r="HE11" s="31"/>
      <c r="HF11" s="31"/>
      <c r="HG11" s="31"/>
      <c r="HH11" s="31"/>
      <c r="HI11" s="31"/>
      <c r="HJ11" s="31"/>
      <c r="HK11" s="31"/>
      <c r="HL11" s="31"/>
      <c r="HM11" s="31"/>
      <c r="HN11" s="31"/>
      <c r="HO11" s="31"/>
      <c r="HP11" s="31"/>
      <c r="HQ11" s="31"/>
      <c r="HR11" s="31"/>
      <c r="HS11" s="31"/>
      <c r="HT11" s="31"/>
      <c r="HU11" s="31"/>
      <c r="HV11" s="31"/>
      <c r="HW11" s="31"/>
      <c r="HX11" s="31"/>
      <c r="HY11" s="31"/>
      <c r="HZ11" s="31"/>
      <c r="IA11" s="31" t="s">
        <v>54</v>
      </c>
    </row>
    <row r="12" spans="1:235" ht="14.25" customHeight="1" x14ac:dyDescent="0.35">
      <c r="A12" s="55" t="s">
        <v>154</v>
      </c>
      <c r="B12" s="46"/>
      <c r="C12" s="46"/>
      <c r="D12" s="46"/>
      <c r="E12" s="46"/>
      <c r="F12" s="46">
        <v>500000</v>
      </c>
      <c r="G12" s="46">
        <v>1000000</v>
      </c>
      <c r="H12" s="46">
        <v>1000000</v>
      </c>
      <c r="I12" s="46">
        <v>750000</v>
      </c>
      <c r="J12" s="46">
        <v>750000</v>
      </c>
      <c r="K12" s="46">
        <v>750000</v>
      </c>
      <c r="L12" s="46">
        <v>750000</v>
      </c>
      <c r="M12" s="46">
        <v>750000</v>
      </c>
      <c r="N12" s="46">
        <v>750000</v>
      </c>
      <c r="O12" s="46"/>
      <c r="P12" s="47"/>
      <c r="Q12" s="47"/>
      <c r="R12" s="47"/>
      <c r="S12" s="27"/>
      <c r="T12" s="30" t="s">
        <v>56</v>
      </c>
      <c r="U12" s="54">
        <v>45992</v>
      </c>
      <c r="V12" s="54"/>
      <c r="W12" s="31">
        <v>600000</v>
      </c>
      <c r="X12" s="54"/>
      <c r="Y12" s="54"/>
      <c r="Z12" s="31">
        <v>600000</v>
      </c>
      <c r="AA12" s="31" t="s">
        <v>29</v>
      </c>
      <c r="AB12" s="27">
        <f t="shared" si="2"/>
        <v>600000</v>
      </c>
      <c r="AC12" s="31" t="s">
        <v>31</v>
      </c>
      <c r="AD12" s="31"/>
      <c r="AE12" s="31"/>
      <c r="AF12" s="24" t="s">
        <v>125</v>
      </c>
      <c r="AG12" s="39"/>
      <c r="AH12" s="39"/>
      <c r="AI12" s="39">
        <v>210400</v>
      </c>
      <c r="AJ12" s="39"/>
      <c r="AK12" s="39">
        <v>210400</v>
      </c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  <c r="EY12" s="31"/>
      <c r="EZ12" s="31"/>
      <c r="FA12" s="31"/>
      <c r="FB12" s="31"/>
      <c r="FC12" s="31"/>
      <c r="FD12" s="31"/>
      <c r="FE12" s="31"/>
      <c r="FF12" s="31"/>
      <c r="FG12" s="31"/>
      <c r="FH12" s="31"/>
      <c r="FI12" s="31"/>
      <c r="FJ12" s="31"/>
      <c r="FK12" s="31"/>
      <c r="FL12" s="31"/>
      <c r="FM12" s="31"/>
      <c r="FN12" s="31"/>
      <c r="FO12" s="31"/>
      <c r="FP12" s="31"/>
      <c r="FQ12" s="31"/>
      <c r="FR12" s="31"/>
      <c r="FS12" s="31"/>
      <c r="FT12" s="31"/>
      <c r="FU12" s="31"/>
      <c r="FV12" s="31"/>
      <c r="FW12" s="31"/>
      <c r="FX12" s="31"/>
      <c r="FY12" s="31"/>
      <c r="FZ12" s="31"/>
      <c r="GA12" s="31"/>
      <c r="GB12" s="31"/>
      <c r="GC12" s="31"/>
      <c r="GD12" s="31"/>
      <c r="GE12" s="31"/>
      <c r="GF12" s="31"/>
      <c r="GG12" s="31"/>
      <c r="GH12" s="31"/>
      <c r="GI12" s="31"/>
      <c r="GJ12" s="31"/>
      <c r="GK12" s="31"/>
      <c r="GL12" s="31"/>
      <c r="GM12" s="31"/>
      <c r="GN12" s="31"/>
      <c r="GO12" s="31"/>
      <c r="GP12" s="31"/>
      <c r="GQ12" s="31"/>
      <c r="GR12" s="31"/>
      <c r="GS12" s="31"/>
      <c r="GT12" s="31"/>
      <c r="GU12" s="31"/>
      <c r="GV12" s="31"/>
      <c r="GW12" s="31"/>
      <c r="GX12" s="31"/>
      <c r="GY12" s="31"/>
      <c r="GZ12" s="31"/>
      <c r="HA12" s="31"/>
      <c r="HB12" s="31"/>
      <c r="HC12" s="31"/>
      <c r="HD12" s="31"/>
      <c r="HE12" s="31"/>
      <c r="HF12" s="31"/>
      <c r="HG12" s="31"/>
      <c r="HH12" s="31"/>
      <c r="HI12" s="31"/>
      <c r="HJ12" s="31"/>
      <c r="HK12" s="31"/>
      <c r="HL12" s="31"/>
      <c r="HM12" s="31"/>
      <c r="HN12" s="31"/>
      <c r="HO12" s="31"/>
      <c r="HP12" s="31"/>
      <c r="HQ12" s="31"/>
      <c r="HR12" s="31"/>
      <c r="HS12" s="31"/>
      <c r="HT12" s="31"/>
      <c r="HU12" s="31"/>
      <c r="HV12" s="31"/>
      <c r="HW12" s="31"/>
      <c r="HX12" s="31"/>
      <c r="HY12" s="31"/>
      <c r="HZ12" s="31"/>
      <c r="IA12" s="31"/>
    </row>
    <row r="13" spans="1:235" ht="14.25" customHeight="1" x14ac:dyDescent="0.35">
      <c r="A13" s="55" t="s">
        <v>55</v>
      </c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7"/>
      <c r="Q13" s="47"/>
      <c r="R13" s="47"/>
      <c r="S13" s="27"/>
      <c r="T13" s="30" t="s">
        <v>59</v>
      </c>
      <c r="U13" s="54">
        <v>45992</v>
      </c>
      <c r="V13" s="54"/>
      <c r="W13" s="31">
        <f>+Z13</f>
        <v>300000</v>
      </c>
      <c r="X13" s="54"/>
      <c r="Y13" s="54"/>
      <c r="Z13" s="31">
        <v>300000</v>
      </c>
      <c r="AA13" s="31" t="s">
        <v>30</v>
      </c>
      <c r="AB13" s="27">
        <f t="shared" si="2"/>
        <v>300000</v>
      </c>
      <c r="AC13" s="31" t="s">
        <v>31</v>
      </c>
      <c r="AD13" s="31"/>
      <c r="AE13" s="31"/>
      <c r="AF13" s="24" t="s">
        <v>118</v>
      </c>
      <c r="AG13" s="39">
        <v>687094</v>
      </c>
      <c r="AH13" s="39">
        <v>5296000</v>
      </c>
      <c r="AI13" s="39">
        <v>6925212.9000000004</v>
      </c>
      <c r="AJ13" s="39"/>
      <c r="AK13" s="39">
        <v>12908306.9</v>
      </c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  <c r="EY13" s="31"/>
      <c r="EZ13" s="31"/>
      <c r="FA13" s="31"/>
      <c r="FB13" s="31"/>
      <c r="FC13" s="31"/>
      <c r="FD13" s="31"/>
      <c r="FE13" s="31"/>
      <c r="FF13" s="31"/>
      <c r="FG13" s="31"/>
      <c r="FH13" s="31"/>
      <c r="FI13" s="31"/>
      <c r="FJ13" s="31"/>
      <c r="FK13" s="31"/>
      <c r="FL13" s="31"/>
      <c r="FM13" s="31"/>
      <c r="FN13" s="31"/>
      <c r="FO13" s="31"/>
      <c r="FP13" s="31"/>
      <c r="FQ13" s="31"/>
      <c r="FR13" s="31"/>
      <c r="FS13" s="31"/>
      <c r="FT13" s="31"/>
      <c r="FU13" s="31"/>
      <c r="FV13" s="31"/>
      <c r="FW13" s="31"/>
      <c r="FX13" s="31"/>
      <c r="FY13" s="31"/>
      <c r="FZ13" s="31"/>
      <c r="GA13" s="31"/>
      <c r="GB13" s="31"/>
      <c r="GC13" s="31"/>
      <c r="GD13" s="31"/>
      <c r="GE13" s="31"/>
      <c r="GF13" s="31"/>
      <c r="GG13" s="31"/>
      <c r="GH13" s="31"/>
      <c r="GI13" s="31"/>
      <c r="GJ13" s="31"/>
      <c r="GK13" s="31"/>
      <c r="GL13" s="31"/>
      <c r="GM13" s="31"/>
      <c r="GN13" s="31"/>
      <c r="GO13" s="31"/>
      <c r="GP13" s="31"/>
      <c r="GQ13" s="31"/>
      <c r="GR13" s="31"/>
      <c r="GS13" s="31"/>
      <c r="GT13" s="31"/>
      <c r="GU13" s="31"/>
      <c r="GV13" s="31"/>
      <c r="GW13" s="31"/>
      <c r="GX13" s="31"/>
      <c r="GY13" s="31"/>
      <c r="GZ13" s="31"/>
      <c r="HA13" s="31"/>
      <c r="HB13" s="31"/>
      <c r="HC13" s="31"/>
      <c r="HD13" s="31"/>
      <c r="HE13" s="31"/>
      <c r="HF13" s="31"/>
      <c r="HG13" s="31"/>
      <c r="HH13" s="31"/>
      <c r="HI13" s="31"/>
      <c r="HJ13" s="31"/>
      <c r="HK13" s="31"/>
      <c r="HL13" s="31"/>
      <c r="HM13" s="31"/>
      <c r="HN13" s="31"/>
      <c r="HO13" s="31"/>
      <c r="HP13" s="31"/>
      <c r="HQ13" s="31"/>
      <c r="HR13" s="31"/>
      <c r="HS13" s="31"/>
      <c r="HT13" s="31"/>
      <c r="HU13" s="31"/>
      <c r="HV13" s="31"/>
      <c r="HW13" s="31"/>
      <c r="HX13" s="31"/>
      <c r="HY13" s="31"/>
      <c r="HZ13" s="31"/>
      <c r="IA13" s="31"/>
    </row>
    <row r="14" spans="1:235" ht="14.25" customHeight="1" x14ac:dyDescent="0.35">
      <c r="A14" s="55" t="s">
        <v>58</v>
      </c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7"/>
      <c r="Q14" s="47"/>
      <c r="R14" s="47"/>
      <c r="S14" s="27"/>
      <c r="T14" s="30" t="s">
        <v>61</v>
      </c>
      <c r="U14" s="54">
        <v>45992</v>
      </c>
      <c r="V14" s="54"/>
      <c r="W14" s="31">
        <f>+Z14</f>
        <v>300000</v>
      </c>
      <c r="X14" s="54"/>
      <c r="Y14" s="54"/>
      <c r="Z14" s="31">
        <v>300000</v>
      </c>
      <c r="AA14" s="31" t="s">
        <v>30</v>
      </c>
      <c r="AB14" s="27">
        <f t="shared" si="2"/>
        <v>300000</v>
      </c>
      <c r="AC14" s="31" t="s">
        <v>35</v>
      </c>
      <c r="AD14" s="31"/>
      <c r="AE14" s="31"/>
      <c r="AH14" s="56"/>
      <c r="AI14" s="57"/>
      <c r="AJ14" s="56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  <c r="EY14" s="31"/>
      <c r="EZ14" s="31"/>
      <c r="FA14" s="31"/>
      <c r="FB14" s="31"/>
      <c r="FC14" s="31"/>
      <c r="FD14" s="31"/>
      <c r="FE14" s="31"/>
      <c r="FF14" s="31"/>
      <c r="FG14" s="31"/>
      <c r="FH14" s="31"/>
      <c r="FI14" s="31"/>
      <c r="FJ14" s="31"/>
      <c r="FK14" s="31"/>
      <c r="FL14" s="31"/>
      <c r="FM14" s="31"/>
      <c r="FN14" s="31"/>
      <c r="FO14" s="31"/>
      <c r="FP14" s="31"/>
      <c r="FQ14" s="31"/>
      <c r="FR14" s="31"/>
      <c r="FS14" s="31"/>
      <c r="FT14" s="31"/>
      <c r="FU14" s="31"/>
      <c r="FV14" s="31"/>
      <c r="FW14" s="31"/>
      <c r="FX14" s="31"/>
      <c r="FY14" s="31"/>
      <c r="FZ14" s="31"/>
      <c r="GA14" s="31"/>
      <c r="GB14" s="31"/>
      <c r="GC14" s="31"/>
      <c r="GD14" s="31"/>
      <c r="GE14" s="31"/>
      <c r="GF14" s="31"/>
      <c r="GG14" s="31"/>
      <c r="GH14" s="31"/>
      <c r="GI14" s="31"/>
      <c r="GJ14" s="31"/>
      <c r="GK14" s="31"/>
      <c r="GL14" s="31"/>
      <c r="GM14" s="31"/>
      <c r="GN14" s="31"/>
      <c r="GO14" s="31"/>
      <c r="GP14" s="31"/>
      <c r="GQ14" s="31"/>
      <c r="GR14" s="31"/>
      <c r="GS14" s="31"/>
      <c r="GT14" s="31"/>
      <c r="GU14" s="31"/>
      <c r="GV14" s="31"/>
      <c r="GW14" s="31"/>
      <c r="GX14" s="31"/>
      <c r="GY14" s="31"/>
      <c r="GZ14" s="31"/>
      <c r="HA14" s="31"/>
      <c r="HB14" s="31"/>
      <c r="HC14" s="31"/>
      <c r="HD14" s="31"/>
      <c r="HE14" s="31"/>
      <c r="HF14" s="31"/>
      <c r="HG14" s="31"/>
      <c r="HH14" s="31"/>
      <c r="HI14" s="31"/>
      <c r="HJ14" s="31"/>
      <c r="HK14" s="31"/>
      <c r="HL14" s="31"/>
      <c r="HM14" s="31"/>
      <c r="HN14" s="31"/>
      <c r="HO14" s="31"/>
      <c r="HP14" s="31"/>
      <c r="HQ14" s="31"/>
      <c r="HR14" s="31"/>
      <c r="HS14" s="31"/>
      <c r="HT14" s="31"/>
      <c r="HU14" s="31"/>
      <c r="HV14" s="31"/>
      <c r="HW14" s="31"/>
      <c r="HX14" s="31"/>
      <c r="HY14" s="31"/>
      <c r="HZ14" s="31"/>
    </row>
    <row r="15" spans="1:235" ht="14.25" customHeight="1" x14ac:dyDescent="0.35">
      <c r="A15" s="55" t="s">
        <v>60</v>
      </c>
      <c r="B15" s="46"/>
      <c r="C15" s="46"/>
      <c r="D15" s="46"/>
      <c r="E15" s="46">
        <v>100000000</v>
      </c>
      <c r="F15" s="46"/>
      <c r="G15" s="58"/>
      <c r="H15" s="46"/>
      <c r="I15" s="46"/>
      <c r="J15" s="46"/>
      <c r="K15" s="46"/>
      <c r="L15" s="46"/>
      <c r="M15" s="46"/>
      <c r="N15" s="46"/>
      <c r="O15" s="46"/>
      <c r="P15" s="47"/>
      <c r="Q15" s="47"/>
      <c r="R15" s="47"/>
      <c r="S15" s="27"/>
      <c r="T15" s="30" t="s">
        <v>63</v>
      </c>
      <c r="U15" s="54">
        <v>45992</v>
      </c>
      <c r="V15" s="54"/>
      <c r="W15" s="31">
        <v>86000</v>
      </c>
      <c r="X15" s="54"/>
      <c r="Y15" s="54"/>
      <c r="Z15" s="31">
        <v>86000</v>
      </c>
      <c r="AA15" s="31" t="s">
        <v>30</v>
      </c>
      <c r="AB15" s="27">
        <f t="shared" si="2"/>
        <v>86000</v>
      </c>
      <c r="AC15" s="31" t="s">
        <v>53</v>
      </c>
      <c r="AD15" s="31"/>
      <c r="AE15" s="31"/>
      <c r="AI15" s="57"/>
      <c r="AJ15" s="56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  <c r="EY15" s="31"/>
      <c r="EZ15" s="31"/>
      <c r="FA15" s="31"/>
      <c r="FB15" s="31"/>
      <c r="FC15" s="31"/>
      <c r="FD15" s="31"/>
      <c r="FE15" s="31"/>
      <c r="FF15" s="31"/>
      <c r="FG15" s="31"/>
      <c r="FH15" s="31"/>
      <c r="FI15" s="31"/>
      <c r="FJ15" s="31"/>
      <c r="FK15" s="31"/>
      <c r="FL15" s="31"/>
      <c r="FM15" s="31"/>
      <c r="FN15" s="31"/>
      <c r="FO15" s="31"/>
      <c r="FP15" s="31"/>
      <c r="FQ15" s="31"/>
      <c r="FR15" s="31"/>
      <c r="FS15" s="31"/>
      <c r="FT15" s="31"/>
      <c r="FU15" s="31"/>
      <c r="FV15" s="31"/>
      <c r="FW15" s="31"/>
      <c r="FX15" s="31"/>
      <c r="FY15" s="31"/>
      <c r="FZ15" s="31"/>
      <c r="GA15" s="31"/>
      <c r="GB15" s="31"/>
      <c r="GC15" s="31"/>
      <c r="GD15" s="31"/>
      <c r="GE15" s="31"/>
      <c r="GF15" s="31"/>
      <c r="GG15" s="31"/>
      <c r="GH15" s="31"/>
      <c r="GI15" s="31"/>
      <c r="GJ15" s="31"/>
      <c r="GK15" s="31"/>
      <c r="GL15" s="31"/>
      <c r="GM15" s="31"/>
      <c r="GN15" s="31"/>
      <c r="GO15" s="31"/>
      <c r="GP15" s="31"/>
      <c r="GQ15" s="31"/>
      <c r="GR15" s="31"/>
      <c r="GS15" s="31"/>
      <c r="GT15" s="31"/>
      <c r="GU15" s="31"/>
      <c r="GV15" s="31"/>
      <c r="GW15" s="31"/>
      <c r="GX15" s="31"/>
      <c r="GY15" s="31"/>
      <c r="GZ15" s="31"/>
      <c r="HA15" s="31"/>
      <c r="HB15" s="31"/>
      <c r="HC15" s="31"/>
      <c r="HD15" s="31"/>
      <c r="HE15" s="31"/>
      <c r="HF15" s="31"/>
      <c r="HG15" s="31"/>
      <c r="HH15" s="31"/>
      <c r="HI15" s="31"/>
      <c r="HJ15" s="31"/>
      <c r="HK15" s="31"/>
      <c r="HL15" s="31"/>
      <c r="HM15" s="31"/>
      <c r="HN15" s="31"/>
      <c r="HO15" s="31"/>
      <c r="HP15" s="31"/>
      <c r="HQ15" s="31"/>
      <c r="HR15" s="31"/>
      <c r="HS15" s="31"/>
      <c r="HT15" s="31"/>
      <c r="HU15" s="31"/>
      <c r="HV15" s="31"/>
      <c r="HW15" s="31"/>
      <c r="HX15" s="31"/>
      <c r="HY15" s="31"/>
      <c r="HZ15" s="31"/>
    </row>
    <row r="16" spans="1:235" ht="14.25" customHeight="1" x14ac:dyDescent="0.35">
      <c r="A16" s="55" t="s">
        <v>62</v>
      </c>
      <c r="B16" s="46"/>
      <c r="C16" s="46"/>
      <c r="D16" s="46">
        <v>11446877</v>
      </c>
      <c r="E16" s="46">
        <v>34692000</v>
      </c>
      <c r="F16" s="46">
        <v>81397900</v>
      </c>
      <c r="G16" s="46">
        <v>72705400</v>
      </c>
      <c r="H16" s="46">
        <v>109330880</v>
      </c>
      <c r="I16" s="46">
        <v>93314328</v>
      </c>
      <c r="J16" s="46">
        <v>104474000</v>
      </c>
      <c r="K16" s="46">
        <v>104474000</v>
      </c>
      <c r="L16" s="46">
        <v>104474000</v>
      </c>
      <c r="M16" s="46">
        <v>104474000</v>
      </c>
      <c r="N16" s="46">
        <v>104474000</v>
      </c>
      <c r="O16" s="46">
        <v>104474000</v>
      </c>
      <c r="P16" s="59"/>
      <c r="Q16" s="59"/>
      <c r="R16" s="59"/>
      <c r="S16" s="27"/>
      <c r="T16" s="30" t="s">
        <v>65</v>
      </c>
      <c r="U16" s="54"/>
      <c r="V16" s="54">
        <v>45992</v>
      </c>
      <c r="W16" s="31">
        <v>25000</v>
      </c>
      <c r="X16" s="54"/>
      <c r="Y16" s="54"/>
      <c r="Z16" s="31">
        <v>25000</v>
      </c>
      <c r="AA16" s="31" t="s">
        <v>30</v>
      </c>
      <c r="AB16" s="27">
        <f t="shared" si="2"/>
        <v>25000</v>
      </c>
      <c r="AC16" s="31" t="s">
        <v>33</v>
      </c>
      <c r="AD16" s="31"/>
      <c r="AE16" s="31"/>
      <c r="AI16" s="60">
        <f>+AI13-5700000</f>
        <v>1225212.9000000004</v>
      </c>
      <c r="AJ16" s="56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  <c r="GW16" s="31"/>
      <c r="GX16" s="31"/>
      <c r="GY16" s="31"/>
      <c r="GZ16" s="31"/>
      <c r="HA16" s="31"/>
      <c r="HB16" s="31"/>
      <c r="HC16" s="31"/>
      <c r="HD16" s="31"/>
      <c r="HE16" s="31"/>
      <c r="HF16" s="31"/>
      <c r="HG16" s="31"/>
      <c r="HH16" s="31"/>
      <c r="HI16" s="31"/>
      <c r="HJ16" s="31"/>
      <c r="HK16" s="31"/>
      <c r="HL16" s="31"/>
      <c r="HM16" s="31"/>
      <c r="HN16" s="31"/>
      <c r="HO16" s="31"/>
      <c r="HP16" s="31"/>
      <c r="HQ16" s="31"/>
      <c r="HR16" s="31"/>
      <c r="HS16" s="31"/>
      <c r="HT16" s="31"/>
      <c r="HU16" s="31"/>
      <c r="HV16" s="31"/>
      <c r="HW16" s="31"/>
      <c r="HX16" s="31"/>
      <c r="HY16" s="31"/>
      <c r="HZ16" s="31"/>
    </row>
    <row r="17" spans="1:235" ht="14.25" customHeight="1" x14ac:dyDescent="0.35">
      <c r="A17" s="55" t="s">
        <v>64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7"/>
      <c r="Q17" s="47"/>
      <c r="R17" s="47"/>
      <c r="S17" s="27"/>
      <c r="T17" s="30" t="s">
        <v>67</v>
      </c>
      <c r="U17" s="54"/>
      <c r="V17" s="54"/>
      <c r="W17" s="31">
        <v>324580</v>
      </c>
      <c r="X17" s="54"/>
      <c r="Y17" s="54"/>
      <c r="Z17" s="31">
        <v>324580</v>
      </c>
      <c r="AA17" s="31" t="s">
        <v>30</v>
      </c>
      <c r="AB17" s="27">
        <f t="shared" si="2"/>
        <v>324580</v>
      </c>
      <c r="AC17" s="31" t="s">
        <v>33</v>
      </c>
      <c r="AD17" s="31"/>
      <c r="AE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  <c r="EY17" s="31"/>
      <c r="EZ17" s="31"/>
      <c r="FA17" s="31"/>
      <c r="FB17" s="31"/>
      <c r="FC17" s="31"/>
      <c r="FD17" s="31"/>
      <c r="FE17" s="31"/>
      <c r="FF17" s="31"/>
      <c r="FG17" s="31"/>
      <c r="FH17" s="31"/>
      <c r="FI17" s="31"/>
      <c r="FJ17" s="31"/>
      <c r="FK17" s="31"/>
      <c r="FL17" s="31"/>
      <c r="FM17" s="31"/>
      <c r="FN17" s="31"/>
      <c r="FO17" s="31"/>
      <c r="FP17" s="31"/>
      <c r="FQ17" s="31"/>
      <c r="FR17" s="31"/>
      <c r="FS17" s="31"/>
      <c r="FT17" s="31"/>
      <c r="FU17" s="31"/>
      <c r="FV17" s="31"/>
      <c r="FW17" s="31"/>
      <c r="FX17" s="31"/>
      <c r="FY17" s="31"/>
      <c r="FZ17" s="31"/>
      <c r="GA17" s="31"/>
      <c r="GB17" s="31"/>
      <c r="GC17" s="31"/>
      <c r="GD17" s="31"/>
      <c r="GE17" s="31"/>
      <c r="GF17" s="31"/>
      <c r="GG17" s="31"/>
      <c r="GH17" s="31"/>
      <c r="GI17" s="31"/>
      <c r="GJ17" s="31"/>
      <c r="GK17" s="31"/>
      <c r="GL17" s="31"/>
      <c r="GM17" s="31"/>
      <c r="GN17" s="31"/>
      <c r="GO17" s="31"/>
      <c r="GP17" s="31"/>
      <c r="GQ17" s="31"/>
      <c r="GR17" s="31"/>
      <c r="GS17" s="31"/>
      <c r="GT17" s="31"/>
      <c r="GU17" s="31"/>
      <c r="GV17" s="31"/>
      <c r="GW17" s="31"/>
      <c r="GX17" s="31"/>
      <c r="GY17" s="31"/>
      <c r="GZ17" s="31"/>
      <c r="HA17" s="31"/>
      <c r="HB17" s="31"/>
      <c r="HC17" s="31"/>
      <c r="HD17" s="31"/>
      <c r="HE17" s="31"/>
      <c r="HF17" s="31"/>
      <c r="HG17" s="31"/>
      <c r="HH17" s="31"/>
      <c r="HI17" s="31"/>
      <c r="HJ17" s="31"/>
      <c r="HK17" s="31"/>
      <c r="HL17" s="31"/>
      <c r="HM17" s="31"/>
      <c r="HN17" s="31"/>
      <c r="HO17" s="31"/>
      <c r="HP17" s="31"/>
      <c r="HQ17" s="31"/>
      <c r="HR17" s="31"/>
      <c r="HS17" s="31"/>
      <c r="HT17" s="31"/>
      <c r="HU17" s="31"/>
      <c r="HV17" s="31"/>
      <c r="HW17" s="31"/>
      <c r="HX17" s="31"/>
      <c r="HY17" s="31"/>
      <c r="HZ17" s="31"/>
    </row>
    <row r="18" spans="1:235" ht="14.25" customHeight="1" x14ac:dyDescent="0.35">
      <c r="A18" s="61" t="s">
        <v>66</v>
      </c>
      <c r="B18" s="46">
        <f>SUM(B10:B17)</f>
        <v>80000000</v>
      </c>
      <c r="C18" s="46">
        <f>SUM(C10:C17)</f>
        <v>0</v>
      </c>
      <c r="D18" s="46">
        <f>SUM(D10:D17)</f>
        <v>11446877</v>
      </c>
      <c r="E18" s="46">
        <f>SUM(E10:E17)</f>
        <v>134692000</v>
      </c>
      <c r="F18" s="46">
        <f>SUM(F10:F17)</f>
        <v>81897900</v>
      </c>
      <c r="G18" s="46">
        <f t="shared" ref="G18:M18" si="3">SUM(G10:G16)</f>
        <v>73705400</v>
      </c>
      <c r="H18" s="46">
        <f t="shared" si="3"/>
        <v>110330880</v>
      </c>
      <c r="I18" s="46">
        <f t="shared" si="3"/>
        <v>94064328</v>
      </c>
      <c r="J18" s="46">
        <f t="shared" si="3"/>
        <v>105224000</v>
      </c>
      <c r="K18" s="46">
        <f t="shared" si="3"/>
        <v>105224000</v>
      </c>
      <c r="L18" s="46">
        <f t="shared" si="3"/>
        <v>105224000</v>
      </c>
      <c r="M18" s="46">
        <f t="shared" si="3"/>
        <v>105224000</v>
      </c>
      <c r="N18" s="46">
        <f>SUM(N10:N16)</f>
        <v>105224000</v>
      </c>
      <c r="O18" s="46">
        <f>SUM(O10:O16)</f>
        <v>104474000</v>
      </c>
      <c r="P18" s="47"/>
      <c r="Q18" s="47"/>
      <c r="R18" s="47"/>
      <c r="S18" s="27"/>
      <c r="T18" s="30" t="s">
        <v>69</v>
      </c>
      <c r="U18" s="54"/>
      <c r="V18" s="54"/>
      <c r="W18" s="31">
        <f>50*4400</f>
        <v>220000</v>
      </c>
      <c r="X18" s="54"/>
      <c r="Y18" s="54"/>
      <c r="Z18" s="31">
        <v>220000</v>
      </c>
      <c r="AA18" s="31" t="s">
        <v>30</v>
      </c>
      <c r="AB18" s="27">
        <f t="shared" si="2"/>
        <v>220000</v>
      </c>
      <c r="AC18" s="31" t="s">
        <v>33</v>
      </c>
      <c r="AD18" s="31"/>
      <c r="AE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  <c r="CF18" s="31"/>
      <c r="CG18" s="31"/>
      <c r="CH18" s="31"/>
      <c r="CI18" s="31"/>
      <c r="CJ18" s="31"/>
      <c r="CK18" s="31"/>
      <c r="CL18" s="31"/>
      <c r="CM18" s="31"/>
      <c r="CN18" s="31"/>
      <c r="CO18" s="31"/>
      <c r="CP18" s="31"/>
      <c r="CQ18" s="31"/>
      <c r="CR18" s="31"/>
      <c r="CS18" s="31"/>
      <c r="CT18" s="31"/>
      <c r="CU18" s="31"/>
      <c r="CV18" s="31"/>
      <c r="CW18" s="31"/>
      <c r="CX18" s="31"/>
      <c r="CY18" s="31"/>
      <c r="CZ18" s="31"/>
      <c r="DA18" s="31"/>
      <c r="DB18" s="31"/>
      <c r="DC18" s="31"/>
      <c r="DD18" s="31"/>
      <c r="DE18" s="31"/>
      <c r="DF18" s="31"/>
      <c r="DG18" s="31"/>
      <c r="DH18" s="31"/>
      <c r="DI18" s="31"/>
      <c r="DJ18" s="31"/>
      <c r="DK18" s="31"/>
      <c r="DL18" s="31"/>
      <c r="DM18" s="31"/>
      <c r="DN18" s="31"/>
      <c r="DO18" s="31"/>
      <c r="DP18" s="31"/>
      <c r="DQ18" s="31"/>
      <c r="DR18" s="31"/>
      <c r="DS18" s="31"/>
      <c r="DT18" s="31"/>
      <c r="DU18" s="31"/>
      <c r="DV18" s="31"/>
      <c r="DW18" s="31"/>
      <c r="DX18" s="31"/>
      <c r="DY18" s="31"/>
      <c r="DZ18" s="31"/>
      <c r="EA18" s="31"/>
      <c r="EB18" s="31"/>
      <c r="EC18" s="31"/>
      <c r="ED18" s="31"/>
      <c r="EE18" s="31"/>
      <c r="EF18" s="31"/>
      <c r="EG18" s="31"/>
      <c r="EH18" s="31"/>
      <c r="EI18" s="31"/>
      <c r="EJ18" s="31"/>
      <c r="EK18" s="31"/>
      <c r="EL18" s="31"/>
      <c r="EM18" s="31"/>
      <c r="EN18" s="31"/>
      <c r="EO18" s="31"/>
      <c r="EP18" s="31"/>
      <c r="EQ18" s="31"/>
      <c r="ER18" s="31"/>
      <c r="ES18" s="31"/>
      <c r="ET18" s="31"/>
      <c r="EU18" s="31"/>
      <c r="EV18" s="31"/>
      <c r="EW18" s="31"/>
      <c r="EX18" s="31"/>
      <c r="EY18" s="31"/>
      <c r="EZ18" s="31"/>
      <c r="FA18" s="31"/>
      <c r="FB18" s="31"/>
      <c r="FC18" s="31"/>
      <c r="FD18" s="31"/>
      <c r="FE18" s="31"/>
      <c r="FF18" s="31"/>
      <c r="FG18" s="31"/>
      <c r="FH18" s="31"/>
      <c r="FI18" s="31"/>
      <c r="FJ18" s="31"/>
      <c r="FK18" s="31"/>
      <c r="FL18" s="31"/>
      <c r="FM18" s="31"/>
      <c r="FN18" s="31"/>
      <c r="FO18" s="31"/>
      <c r="FP18" s="31"/>
      <c r="FQ18" s="31"/>
      <c r="FR18" s="31"/>
      <c r="FS18" s="31"/>
      <c r="FT18" s="31"/>
      <c r="FU18" s="31"/>
      <c r="FV18" s="31"/>
      <c r="FW18" s="31"/>
      <c r="FX18" s="31"/>
      <c r="FY18" s="31"/>
      <c r="FZ18" s="31"/>
      <c r="GA18" s="31"/>
      <c r="GB18" s="31"/>
      <c r="GC18" s="31"/>
      <c r="GD18" s="31"/>
      <c r="GE18" s="31"/>
      <c r="GF18" s="31"/>
      <c r="GG18" s="31"/>
      <c r="GH18" s="31"/>
      <c r="GI18" s="31"/>
      <c r="GJ18" s="31"/>
      <c r="GK18" s="31"/>
      <c r="GL18" s="31"/>
      <c r="GM18" s="31"/>
      <c r="GN18" s="31"/>
      <c r="GO18" s="31"/>
      <c r="GP18" s="31"/>
      <c r="GQ18" s="31"/>
      <c r="GR18" s="31"/>
      <c r="GS18" s="31"/>
      <c r="GT18" s="31"/>
      <c r="GU18" s="31"/>
      <c r="GV18" s="31"/>
      <c r="GW18" s="31"/>
      <c r="GX18" s="31"/>
      <c r="GY18" s="31"/>
      <c r="GZ18" s="31"/>
      <c r="HA18" s="31"/>
      <c r="HB18" s="31"/>
      <c r="HC18" s="31"/>
      <c r="HD18" s="31"/>
      <c r="HE18" s="31"/>
      <c r="HF18" s="31"/>
      <c r="HG18" s="31"/>
      <c r="HH18" s="31"/>
      <c r="HI18" s="31"/>
      <c r="HJ18" s="31"/>
      <c r="HK18" s="31"/>
      <c r="HL18" s="31"/>
      <c r="HM18" s="31"/>
      <c r="HN18" s="31"/>
      <c r="HO18" s="31"/>
      <c r="HP18" s="31"/>
      <c r="HQ18" s="31"/>
      <c r="HR18" s="31"/>
      <c r="HS18" s="31"/>
      <c r="HT18" s="31"/>
      <c r="HU18" s="31"/>
      <c r="HV18" s="31"/>
      <c r="HW18" s="31"/>
      <c r="HX18" s="31"/>
      <c r="HY18" s="31"/>
      <c r="HZ18" s="31"/>
      <c r="IA18" s="31"/>
    </row>
    <row r="19" spans="1:235" ht="14.25" customHeight="1" x14ac:dyDescent="0.35">
      <c r="A19" s="62" t="s">
        <v>68</v>
      </c>
      <c r="B19" s="46">
        <f t="shared" ref="B19:H19" si="4">(B7+B18)</f>
        <v>80000000</v>
      </c>
      <c r="C19" s="46">
        <f t="shared" si="4"/>
        <v>80000000</v>
      </c>
      <c r="D19" s="46">
        <f t="shared" si="4"/>
        <v>4387918.099999994</v>
      </c>
      <c r="E19" s="46">
        <f t="shared" si="4"/>
        <v>133883404</v>
      </c>
      <c r="F19" s="46">
        <f t="shared" si="4"/>
        <v>85254665</v>
      </c>
      <c r="G19" s="46">
        <f t="shared" si="4"/>
        <v>93798679.599999994</v>
      </c>
      <c r="H19" s="46">
        <f t="shared" si="4"/>
        <v>139576877.09999999</v>
      </c>
      <c r="I19" s="46">
        <f t="shared" ref="I19:O19" si="5">(I7+I18)</f>
        <v>128351303.59999999</v>
      </c>
      <c r="J19" s="46">
        <f t="shared" si="5"/>
        <v>126695313.09999999</v>
      </c>
      <c r="K19" s="46">
        <f t="shared" si="5"/>
        <v>179691365.59999999</v>
      </c>
      <c r="L19" s="46">
        <f t="shared" si="5"/>
        <v>237693634.09999999</v>
      </c>
      <c r="M19" s="46">
        <f t="shared" si="5"/>
        <v>302695902.60000002</v>
      </c>
      <c r="N19" s="46">
        <f t="shared" si="5"/>
        <v>367698171.10000002</v>
      </c>
      <c r="O19" s="46">
        <f t="shared" si="5"/>
        <v>431950439.60000002</v>
      </c>
      <c r="P19" s="47"/>
      <c r="Q19" s="47"/>
      <c r="R19" s="47"/>
      <c r="S19" s="27"/>
      <c r="T19" s="30" t="s">
        <v>70</v>
      </c>
      <c r="U19" s="54"/>
      <c r="V19" s="54"/>
      <c r="W19" s="31">
        <f>498134*1.15</f>
        <v>572854.1</v>
      </c>
      <c r="X19" s="54"/>
      <c r="Y19" s="54"/>
      <c r="Z19" s="31">
        <v>572854.1</v>
      </c>
      <c r="AA19" s="31" t="s">
        <v>30</v>
      </c>
      <c r="AB19" s="27">
        <f t="shared" si="2"/>
        <v>572854.1</v>
      </c>
      <c r="AC19" s="31" t="s">
        <v>53</v>
      </c>
      <c r="AD19" s="31"/>
      <c r="AE19" s="31"/>
      <c r="AI19" s="63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1"/>
      <c r="CA19" s="31"/>
      <c r="CB19" s="31"/>
      <c r="CC19" s="31"/>
      <c r="CD19" s="31"/>
      <c r="CE19" s="31"/>
      <c r="CF19" s="31"/>
      <c r="CG19" s="31"/>
      <c r="CH19" s="31"/>
      <c r="CI19" s="31"/>
      <c r="CJ19" s="31"/>
      <c r="CK19" s="31"/>
      <c r="CL19" s="31"/>
      <c r="CM19" s="31"/>
      <c r="CN19" s="31"/>
      <c r="CO19" s="31"/>
      <c r="CP19" s="31"/>
      <c r="CQ19" s="31"/>
      <c r="CR19" s="31"/>
      <c r="CS19" s="31"/>
      <c r="CT19" s="31"/>
      <c r="CU19" s="31"/>
      <c r="CV19" s="31"/>
      <c r="CW19" s="31"/>
      <c r="CX19" s="31"/>
      <c r="CY19" s="31"/>
      <c r="CZ19" s="31"/>
      <c r="DA19" s="31"/>
      <c r="DB19" s="31"/>
      <c r="DC19" s="31"/>
      <c r="DD19" s="31"/>
      <c r="DE19" s="31"/>
      <c r="DF19" s="31"/>
      <c r="DG19" s="31"/>
      <c r="DH19" s="31"/>
      <c r="DI19" s="31"/>
      <c r="DJ19" s="31"/>
      <c r="DK19" s="31"/>
      <c r="DL19" s="31"/>
      <c r="DM19" s="31"/>
      <c r="DN19" s="31"/>
      <c r="DO19" s="31"/>
      <c r="DP19" s="31"/>
      <c r="DQ19" s="31"/>
      <c r="DR19" s="31"/>
      <c r="DS19" s="31"/>
      <c r="DT19" s="31"/>
      <c r="DU19" s="31"/>
      <c r="DV19" s="31"/>
      <c r="DW19" s="31"/>
      <c r="DX19" s="31"/>
      <c r="DY19" s="31"/>
      <c r="DZ19" s="31"/>
      <c r="EA19" s="31"/>
      <c r="EB19" s="31"/>
      <c r="EC19" s="31"/>
      <c r="ED19" s="31"/>
      <c r="EE19" s="31"/>
      <c r="EF19" s="31"/>
      <c r="EG19" s="31"/>
      <c r="EH19" s="31"/>
      <c r="EI19" s="31"/>
      <c r="EJ19" s="31"/>
      <c r="EK19" s="31"/>
      <c r="EL19" s="31"/>
      <c r="EM19" s="31"/>
      <c r="EN19" s="31"/>
      <c r="EO19" s="31"/>
      <c r="EP19" s="31"/>
      <c r="EQ19" s="31"/>
      <c r="ER19" s="31"/>
      <c r="ES19" s="31"/>
      <c r="ET19" s="31"/>
      <c r="EU19" s="31"/>
      <c r="EV19" s="31"/>
      <c r="EW19" s="31"/>
      <c r="EX19" s="31"/>
      <c r="EY19" s="31"/>
      <c r="EZ19" s="31"/>
      <c r="FA19" s="31"/>
      <c r="FB19" s="31"/>
      <c r="FC19" s="31"/>
      <c r="FD19" s="31"/>
      <c r="FE19" s="31"/>
      <c r="FF19" s="31"/>
      <c r="FG19" s="31"/>
      <c r="FH19" s="31"/>
      <c r="FI19" s="31"/>
      <c r="FJ19" s="31"/>
      <c r="FK19" s="31"/>
      <c r="FL19" s="31"/>
      <c r="FM19" s="31"/>
      <c r="FN19" s="31"/>
      <c r="FO19" s="31"/>
      <c r="FP19" s="31"/>
      <c r="FQ19" s="31"/>
      <c r="FR19" s="31"/>
      <c r="FS19" s="31"/>
      <c r="FT19" s="31"/>
      <c r="FU19" s="31"/>
      <c r="FV19" s="31"/>
      <c r="FW19" s="31"/>
      <c r="FX19" s="31"/>
      <c r="FY19" s="31"/>
      <c r="FZ19" s="31"/>
      <c r="GA19" s="31"/>
      <c r="GB19" s="31"/>
      <c r="GC19" s="31"/>
      <c r="GD19" s="31"/>
      <c r="GE19" s="31"/>
      <c r="GF19" s="31"/>
      <c r="GG19" s="31"/>
      <c r="GH19" s="31"/>
      <c r="GI19" s="31"/>
      <c r="GJ19" s="31"/>
      <c r="GK19" s="31"/>
      <c r="GL19" s="31"/>
      <c r="GM19" s="31"/>
      <c r="GN19" s="31"/>
      <c r="GO19" s="31"/>
      <c r="GP19" s="31"/>
      <c r="GQ19" s="31"/>
      <c r="GR19" s="31"/>
      <c r="GS19" s="31"/>
      <c r="GT19" s="31"/>
      <c r="GU19" s="31"/>
      <c r="GV19" s="31"/>
      <c r="GW19" s="31"/>
      <c r="GX19" s="31"/>
      <c r="GY19" s="31"/>
      <c r="GZ19" s="31"/>
      <c r="HA19" s="31"/>
      <c r="HB19" s="31"/>
      <c r="HC19" s="31"/>
      <c r="HD19" s="31"/>
      <c r="HE19" s="31"/>
      <c r="HF19" s="31"/>
      <c r="HG19" s="31"/>
      <c r="HH19" s="31"/>
      <c r="HI19" s="31"/>
      <c r="HJ19" s="31"/>
      <c r="HK19" s="31"/>
      <c r="HL19" s="31"/>
      <c r="HM19" s="31"/>
      <c r="HN19" s="31"/>
      <c r="HO19" s="31"/>
      <c r="HP19" s="31"/>
      <c r="HQ19" s="31"/>
      <c r="HR19" s="31"/>
      <c r="HS19" s="31"/>
      <c r="HT19" s="31"/>
      <c r="HU19" s="31"/>
      <c r="HV19" s="31"/>
      <c r="HW19" s="31"/>
      <c r="HX19" s="31"/>
      <c r="HY19" s="31"/>
      <c r="HZ19" s="31"/>
      <c r="IA19" s="31"/>
    </row>
    <row r="20" spans="1:235" ht="14.25" customHeight="1" x14ac:dyDescent="0.35">
      <c r="A20" s="64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46"/>
      <c r="P20" s="47"/>
      <c r="Q20" s="47"/>
      <c r="R20" s="47"/>
      <c r="S20" s="27"/>
      <c r="T20" s="30" t="s">
        <v>72</v>
      </c>
      <c r="U20" s="54"/>
      <c r="V20" s="54"/>
      <c r="W20" s="31">
        <v>30000</v>
      </c>
      <c r="X20" s="54"/>
      <c r="Y20" s="54"/>
      <c r="Z20" s="31">
        <v>30000</v>
      </c>
      <c r="AA20" s="31" t="s">
        <v>30</v>
      </c>
      <c r="AB20" s="27">
        <f t="shared" si="2"/>
        <v>30000</v>
      </c>
      <c r="AC20" s="31" t="s">
        <v>33</v>
      </c>
      <c r="AD20" s="31"/>
      <c r="AE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31"/>
      <c r="CP20" s="31"/>
      <c r="CQ20" s="31"/>
      <c r="CR20" s="31"/>
      <c r="CS20" s="31"/>
      <c r="CT20" s="31"/>
      <c r="CU20" s="31"/>
      <c r="CV20" s="31"/>
      <c r="CW20" s="31"/>
      <c r="CX20" s="31"/>
      <c r="CY20" s="31"/>
      <c r="CZ20" s="31"/>
      <c r="DA20" s="31"/>
      <c r="DB20" s="31"/>
      <c r="DC20" s="31"/>
      <c r="DD20" s="31"/>
      <c r="DE20" s="31"/>
      <c r="DF20" s="31"/>
      <c r="DG20" s="31"/>
      <c r="DH20" s="31"/>
      <c r="DI20" s="31"/>
      <c r="DJ20" s="31"/>
      <c r="DK20" s="31"/>
      <c r="DL20" s="31"/>
      <c r="DM20" s="31"/>
      <c r="DN20" s="31"/>
      <c r="DO20" s="31"/>
      <c r="DP20" s="31"/>
      <c r="DQ20" s="31"/>
      <c r="DR20" s="31"/>
      <c r="DS20" s="31"/>
      <c r="DT20" s="31"/>
      <c r="DU20" s="31"/>
      <c r="DV20" s="31"/>
      <c r="DW20" s="31"/>
      <c r="DX20" s="31"/>
      <c r="DY20" s="31"/>
      <c r="DZ20" s="31"/>
      <c r="EA20" s="31"/>
      <c r="EB20" s="31"/>
      <c r="EC20" s="31"/>
      <c r="ED20" s="31"/>
      <c r="EE20" s="31"/>
      <c r="EF20" s="31"/>
      <c r="EG20" s="31"/>
      <c r="EH20" s="31"/>
      <c r="EI20" s="31"/>
      <c r="EJ20" s="31"/>
      <c r="EK20" s="31"/>
      <c r="EL20" s="31"/>
      <c r="EM20" s="31"/>
      <c r="EN20" s="31"/>
      <c r="EO20" s="31"/>
      <c r="EP20" s="31"/>
      <c r="EQ20" s="31"/>
      <c r="ER20" s="31"/>
      <c r="ES20" s="31"/>
      <c r="ET20" s="31"/>
      <c r="EU20" s="31"/>
      <c r="EV20" s="31"/>
      <c r="EW20" s="31"/>
      <c r="EX20" s="31"/>
      <c r="EY20" s="31"/>
      <c r="EZ20" s="31"/>
      <c r="FA20" s="31"/>
      <c r="FB20" s="31"/>
      <c r="FC20" s="31"/>
      <c r="FD20" s="31"/>
      <c r="FE20" s="31"/>
      <c r="FF20" s="31"/>
      <c r="FG20" s="31"/>
      <c r="FH20" s="31"/>
      <c r="FI20" s="31"/>
      <c r="FJ20" s="31"/>
      <c r="FK20" s="31"/>
      <c r="FL20" s="31"/>
      <c r="FM20" s="31"/>
      <c r="FN20" s="31"/>
      <c r="FO20" s="31"/>
      <c r="FP20" s="31"/>
      <c r="FQ20" s="31"/>
      <c r="FR20" s="31"/>
      <c r="FS20" s="31"/>
      <c r="FT20" s="31"/>
      <c r="FU20" s="31"/>
      <c r="FV20" s="31"/>
      <c r="FW20" s="31"/>
      <c r="FX20" s="31"/>
      <c r="FY20" s="31"/>
      <c r="FZ20" s="31"/>
      <c r="GA20" s="31"/>
      <c r="GB20" s="31"/>
      <c r="GC20" s="31"/>
      <c r="GD20" s="31"/>
      <c r="GE20" s="31"/>
      <c r="GF20" s="31"/>
      <c r="GG20" s="31"/>
      <c r="GH20" s="31"/>
      <c r="GI20" s="31"/>
      <c r="GJ20" s="31"/>
      <c r="GK20" s="31"/>
      <c r="GL20" s="31"/>
      <c r="GM20" s="31"/>
      <c r="GN20" s="31"/>
      <c r="GO20" s="31"/>
      <c r="GP20" s="31"/>
      <c r="GQ20" s="31"/>
      <c r="GR20" s="31"/>
      <c r="GS20" s="31"/>
      <c r="GT20" s="31"/>
      <c r="GU20" s="31"/>
      <c r="GV20" s="31"/>
      <c r="GW20" s="31"/>
      <c r="GX20" s="31"/>
      <c r="GY20" s="31"/>
      <c r="GZ20" s="31"/>
      <c r="HA20" s="31"/>
      <c r="HB20" s="31"/>
      <c r="HC20" s="31"/>
      <c r="HD20" s="31"/>
      <c r="HE20" s="31"/>
      <c r="HF20" s="31"/>
      <c r="HG20" s="31"/>
      <c r="HH20" s="31"/>
      <c r="HI20" s="31"/>
      <c r="HJ20" s="31"/>
      <c r="HK20" s="31"/>
      <c r="HL20" s="31"/>
      <c r="HM20" s="31"/>
      <c r="HN20" s="31"/>
      <c r="HO20" s="31"/>
      <c r="HP20" s="31"/>
      <c r="HQ20" s="31"/>
      <c r="HR20" s="31"/>
      <c r="HS20" s="31"/>
      <c r="HT20" s="31"/>
      <c r="HU20" s="31"/>
      <c r="HV20" s="31"/>
      <c r="HW20" s="31"/>
      <c r="HX20" s="31"/>
      <c r="HY20" s="31"/>
      <c r="HZ20" s="31"/>
      <c r="IA20" s="31"/>
    </row>
    <row r="21" spans="1:235" ht="14.25" customHeight="1" x14ac:dyDescent="0.35">
      <c r="A21" s="66" t="s">
        <v>71</v>
      </c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53"/>
      <c r="P21" s="47"/>
      <c r="Q21" s="47"/>
      <c r="R21" s="47"/>
      <c r="S21" s="27"/>
      <c r="T21" s="30" t="s">
        <v>73</v>
      </c>
      <c r="U21" s="54"/>
      <c r="V21" s="54"/>
      <c r="W21" s="31">
        <f>929152*1.15</f>
        <v>1068524.7999999998</v>
      </c>
      <c r="X21" s="54"/>
      <c r="Y21" s="54"/>
      <c r="Z21" s="31">
        <v>1068524.7999999998</v>
      </c>
      <c r="AA21" s="31" t="s">
        <v>30</v>
      </c>
      <c r="AB21" s="27">
        <f t="shared" si="2"/>
        <v>1068524.7999999998</v>
      </c>
      <c r="AC21" s="31" t="s">
        <v>47</v>
      </c>
      <c r="AD21" s="31"/>
      <c r="AE21" s="31"/>
      <c r="AI21" s="68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  <c r="CL21" s="31"/>
      <c r="CM21" s="31"/>
      <c r="CN21" s="31"/>
      <c r="CO21" s="31"/>
      <c r="CP21" s="31"/>
      <c r="CQ21" s="31"/>
      <c r="CR21" s="31"/>
      <c r="CS21" s="31"/>
      <c r="CT21" s="31"/>
      <c r="CU21" s="31"/>
      <c r="CV21" s="31"/>
      <c r="CW21" s="31"/>
      <c r="CX21" s="31"/>
      <c r="CY21" s="31"/>
      <c r="CZ21" s="31"/>
      <c r="DA21" s="31"/>
      <c r="DB21" s="31"/>
      <c r="DC21" s="31"/>
      <c r="DD21" s="31"/>
      <c r="DE21" s="31"/>
      <c r="DF21" s="31"/>
      <c r="DG21" s="31"/>
      <c r="DH21" s="31"/>
      <c r="DI21" s="31"/>
      <c r="DJ21" s="31"/>
      <c r="DK21" s="31"/>
      <c r="DL21" s="31"/>
      <c r="DM21" s="31"/>
      <c r="DN21" s="31"/>
      <c r="DO21" s="31"/>
      <c r="DP21" s="31"/>
      <c r="DQ21" s="31"/>
      <c r="DR21" s="31"/>
      <c r="DS21" s="31"/>
      <c r="DT21" s="31"/>
      <c r="DU21" s="31"/>
      <c r="DV21" s="31"/>
      <c r="DW21" s="31"/>
      <c r="DX21" s="31"/>
      <c r="DY21" s="31"/>
      <c r="DZ21" s="31"/>
      <c r="EA21" s="31"/>
      <c r="EB21" s="31"/>
      <c r="EC21" s="31"/>
      <c r="ED21" s="31"/>
      <c r="EE21" s="31"/>
      <c r="EF21" s="31"/>
      <c r="EG21" s="31"/>
      <c r="EH21" s="31"/>
      <c r="EI21" s="31"/>
      <c r="EJ21" s="31"/>
      <c r="EK21" s="31"/>
      <c r="EL21" s="31"/>
      <c r="EM21" s="31"/>
      <c r="EN21" s="31"/>
      <c r="EO21" s="31"/>
      <c r="EP21" s="31"/>
      <c r="EQ21" s="31"/>
      <c r="ER21" s="31"/>
      <c r="ES21" s="31"/>
      <c r="ET21" s="31"/>
      <c r="EU21" s="31"/>
      <c r="EV21" s="31"/>
      <c r="EW21" s="31"/>
      <c r="EX21" s="31"/>
      <c r="EY21" s="31"/>
      <c r="EZ21" s="31"/>
      <c r="FA21" s="31"/>
      <c r="FB21" s="31"/>
      <c r="FC21" s="31"/>
      <c r="FD21" s="31"/>
      <c r="FE21" s="31"/>
      <c r="FF21" s="31"/>
      <c r="FG21" s="31"/>
      <c r="FH21" s="31"/>
      <c r="FI21" s="31"/>
      <c r="FJ21" s="31"/>
      <c r="FK21" s="31"/>
      <c r="FL21" s="31"/>
      <c r="FM21" s="31"/>
      <c r="FN21" s="31"/>
      <c r="FO21" s="31"/>
      <c r="FP21" s="31"/>
      <c r="FQ21" s="31"/>
      <c r="FR21" s="31"/>
      <c r="FS21" s="31"/>
      <c r="FT21" s="31"/>
      <c r="FU21" s="31"/>
      <c r="FV21" s="31"/>
      <c r="FW21" s="31"/>
      <c r="FX21" s="31"/>
      <c r="FY21" s="31"/>
      <c r="FZ21" s="31"/>
      <c r="GA21" s="31"/>
      <c r="GB21" s="31"/>
      <c r="GC21" s="31"/>
      <c r="GD21" s="31"/>
      <c r="GE21" s="31"/>
      <c r="GF21" s="31"/>
      <c r="GG21" s="31"/>
      <c r="GH21" s="31"/>
      <c r="GI21" s="31"/>
      <c r="GJ21" s="31"/>
      <c r="GK21" s="31"/>
      <c r="GL21" s="31"/>
      <c r="GM21" s="31"/>
      <c r="GN21" s="31"/>
      <c r="GO21" s="31"/>
      <c r="GP21" s="31"/>
      <c r="GQ21" s="31"/>
      <c r="GR21" s="31"/>
      <c r="GS21" s="31"/>
      <c r="GT21" s="31"/>
      <c r="GU21" s="31"/>
      <c r="GV21" s="31"/>
      <c r="GW21" s="31"/>
      <c r="GX21" s="31"/>
      <c r="GY21" s="31"/>
      <c r="GZ21" s="31"/>
      <c r="HA21" s="31"/>
      <c r="HB21" s="31"/>
      <c r="HC21" s="31"/>
      <c r="HD21" s="31"/>
      <c r="HE21" s="31"/>
      <c r="HF21" s="31"/>
      <c r="HG21" s="31"/>
      <c r="HH21" s="31"/>
      <c r="HI21" s="31"/>
      <c r="HJ21" s="31"/>
      <c r="HK21" s="31"/>
      <c r="HL21" s="31"/>
      <c r="HM21" s="31"/>
      <c r="HN21" s="31"/>
      <c r="HO21" s="31"/>
      <c r="HP21" s="31"/>
      <c r="HQ21" s="31"/>
      <c r="HR21" s="31"/>
      <c r="HS21" s="31"/>
      <c r="HT21" s="31"/>
      <c r="HU21" s="31"/>
      <c r="HV21" s="31"/>
      <c r="HW21" s="31"/>
      <c r="HX21" s="31"/>
      <c r="HY21" s="31"/>
      <c r="HZ21" s="31"/>
      <c r="IA21" s="31"/>
    </row>
    <row r="22" spans="1:235" ht="14.25" customHeight="1" x14ac:dyDescent="0.35">
      <c r="A22" s="55" t="s">
        <v>173</v>
      </c>
      <c r="B22" s="46"/>
      <c r="C22" s="46">
        <v>72000000</v>
      </c>
      <c r="D22" s="46"/>
      <c r="E22" s="46">
        <f>50000000+20000000</f>
        <v>70000000</v>
      </c>
      <c r="F22" s="46"/>
      <c r="G22" s="46"/>
      <c r="H22" s="46">
        <f>5500000*3</f>
        <v>16500000</v>
      </c>
      <c r="I22" s="46">
        <v>10000000</v>
      </c>
      <c r="J22" s="46"/>
      <c r="K22" s="46"/>
      <c r="L22" s="46"/>
      <c r="M22" s="46"/>
      <c r="N22" s="46"/>
      <c r="O22" s="46"/>
      <c r="P22" s="47"/>
      <c r="Q22" s="47"/>
      <c r="R22" s="47"/>
      <c r="S22" s="27"/>
      <c r="T22" s="30" t="s">
        <v>72</v>
      </c>
      <c r="U22" s="54"/>
      <c r="V22" s="54"/>
      <c r="W22" s="31">
        <v>30000</v>
      </c>
      <c r="X22" s="54"/>
      <c r="Y22" s="54"/>
      <c r="Z22" s="31">
        <v>30000</v>
      </c>
      <c r="AA22" s="31" t="s">
        <v>30</v>
      </c>
      <c r="AB22" s="27">
        <f t="shared" si="2"/>
        <v>30000</v>
      </c>
      <c r="AC22" s="31" t="s">
        <v>33</v>
      </c>
      <c r="AD22" s="31"/>
      <c r="AE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  <c r="CY22" s="31"/>
      <c r="CZ22" s="31"/>
      <c r="DA22" s="31"/>
      <c r="DB22" s="31"/>
      <c r="DC22" s="31"/>
      <c r="DD22" s="31"/>
      <c r="DE22" s="31"/>
      <c r="DF22" s="31"/>
      <c r="DG22" s="31"/>
      <c r="DH22" s="31"/>
      <c r="DI22" s="31"/>
      <c r="DJ22" s="31"/>
      <c r="DK22" s="31"/>
      <c r="DL22" s="31"/>
      <c r="DM22" s="31"/>
      <c r="DN22" s="31"/>
      <c r="DO22" s="31"/>
      <c r="DP22" s="31"/>
      <c r="DQ22" s="31"/>
      <c r="DR22" s="31"/>
      <c r="DS22" s="31"/>
      <c r="DT22" s="31"/>
      <c r="DU22" s="31"/>
      <c r="DV22" s="31"/>
      <c r="DW22" s="31"/>
      <c r="DX22" s="31"/>
      <c r="DY22" s="31"/>
      <c r="DZ22" s="31"/>
      <c r="EA22" s="31"/>
      <c r="EB22" s="31"/>
      <c r="EC22" s="31"/>
      <c r="ED22" s="31"/>
      <c r="EE22" s="31"/>
      <c r="EF22" s="31"/>
      <c r="EG22" s="31"/>
      <c r="EH22" s="31"/>
      <c r="EI22" s="31"/>
      <c r="EJ22" s="31"/>
      <c r="EK22" s="31"/>
      <c r="EL22" s="31"/>
      <c r="EM22" s="31"/>
      <c r="EN22" s="31"/>
      <c r="EO22" s="31"/>
      <c r="EP22" s="31"/>
      <c r="EQ22" s="31"/>
      <c r="ER22" s="31"/>
      <c r="ES22" s="31"/>
      <c r="ET22" s="31"/>
      <c r="EU22" s="31"/>
      <c r="EV22" s="31"/>
      <c r="EW22" s="31"/>
      <c r="EX22" s="31"/>
      <c r="EY22" s="31"/>
      <c r="EZ22" s="31"/>
      <c r="FA22" s="31"/>
      <c r="FB22" s="31"/>
      <c r="FC22" s="31"/>
      <c r="FD22" s="31"/>
      <c r="FE22" s="31"/>
      <c r="FF22" s="31"/>
      <c r="FG22" s="31"/>
      <c r="FH22" s="31"/>
      <c r="FI22" s="31"/>
      <c r="FJ22" s="31"/>
      <c r="FK22" s="31"/>
      <c r="FL22" s="31"/>
      <c r="FM22" s="31"/>
      <c r="FN22" s="31"/>
      <c r="FO22" s="31"/>
      <c r="FP22" s="31"/>
      <c r="FQ22" s="31"/>
      <c r="FR22" s="31"/>
      <c r="FS22" s="31"/>
      <c r="FT22" s="31"/>
      <c r="FU22" s="31"/>
      <c r="FV22" s="31"/>
      <c r="FW22" s="31"/>
      <c r="FX22" s="31"/>
      <c r="FY22" s="31"/>
      <c r="FZ22" s="31"/>
      <c r="GA22" s="31"/>
      <c r="GB22" s="31"/>
      <c r="GC22" s="31"/>
      <c r="GD22" s="31"/>
      <c r="GE22" s="31"/>
      <c r="GF22" s="31"/>
      <c r="GG22" s="31"/>
      <c r="GH22" s="31"/>
      <c r="GI22" s="31"/>
      <c r="GJ22" s="31"/>
      <c r="GK22" s="31"/>
      <c r="GL22" s="31"/>
      <c r="GM22" s="31"/>
      <c r="GN22" s="31"/>
      <c r="GO22" s="31"/>
      <c r="GP22" s="31"/>
      <c r="GQ22" s="31"/>
      <c r="GR22" s="31"/>
      <c r="GS22" s="31"/>
      <c r="GT22" s="31"/>
      <c r="GU22" s="31"/>
      <c r="GV22" s="31"/>
      <c r="GW22" s="31"/>
      <c r="GX22" s="31"/>
      <c r="GY22" s="31"/>
      <c r="GZ22" s="31"/>
      <c r="HA22" s="31"/>
      <c r="HB22" s="31"/>
      <c r="HC22" s="31"/>
      <c r="HD22" s="31"/>
      <c r="HE22" s="31"/>
      <c r="HF22" s="31"/>
      <c r="HG22" s="31"/>
      <c r="HH22" s="31"/>
      <c r="HI22" s="31"/>
      <c r="HJ22" s="31"/>
      <c r="HK22" s="31"/>
      <c r="HL22" s="31"/>
      <c r="HM22" s="31"/>
      <c r="HN22" s="31"/>
      <c r="HO22" s="31"/>
      <c r="HP22" s="31"/>
      <c r="HQ22" s="31"/>
      <c r="HR22" s="31"/>
      <c r="HS22" s="31"/>
      <c r="HT22" s="31"/>
      <c r="HU22" s="31"/>
      <c r="HV22" s="31"/>
      <c r="HW22" s="31"/>
      <c r="HX22" s="31"/>
      <c r="HY22" s="31"/>
      <c r="HZ22" s="31"/>
      <c r="IA22" s="31"/>
    </row>
    <row r="23" spans="1:235" ht="14.25" customHeight="1" x14ac:dyDescent="0.35">
      <c r="A23" s="55" t="s">
        <v>74</v>
      </c>
      <c r="B23" s="46"/>
      <c r="C23" s="46">
        <v>8000000</v>
      </c>
      <c r="D23" s="46"/>
      <c r="E23" s="46">
        <v>9600000</v>
      </c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7"/>
      <c r="Q23" s="47"/>
      <c r="R23" s="47"/>
      <c r="S23" s="27"/>
      <c r="T23" s="30" t="s">
        <v>75</v>
      </c>
      <c r="U23" s="54"/>
      <c r="V23" s="54"/>
      <c r="W23" s="31">
        <v>436000</v>
      </c>
      <c r="X23" s="54"/>
      <c r="Y23" s="54"/>
      <c r="Z23" s="31">
        <v>436000</v>
      </c>
      <c r="AA23" s="31" t="s">
        <v>30</v>
      </c>
      <c r="AB23" s="27">
        <f t="shared" si="2"/>
        <v>436000</v>
      </c>
      <c r="AC23" s="31" t="s">
        <v>33</v>
      </c>
      <c r="AD23" s="31"/>
      <c r="AE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  <c r="CW23" s="31"/>
      <c r="CX23" s="31"/>
      <c r="CY23" s="31"/>
      <c r="CZ23" s="31"/>
      <c r="DA23" s="31"/>
      <c r="DB23" s="31"/>
      <c r="DC23" s="31"/>
      <c r="DD23" s="31"/>
      <c r="DE23" s="31"/>
      <c r="DF23" s="31"/>
      <c r="DG23" s="31"/>
      <c r="DH23" s="31"/>
      <c r="DI23" s="31"/>
      <c r="DJ23" s="31"/>
      <c r="DK23" s="31"/>
      <c r="DL23" s="31"/>
      <c r="DM23" s="31"/>
      <c r="DN23" s="31"/>
      <c r="DO23" s="31"/>
      <c r="DP23" s="31"/>
      <c r="DQ23" s="31"/>
      <c r="DR23" s="31"/>
      <c r="DS23" s="31"/>
      <c r="DT23" s="31"/>
      <c r="DU23" s="31"/>
      <c r="DV23" s="31"/>
      <c r="DW23" s="31"/>
      <c r="DX23" s="31"/>
      <c r="DY23" s="31"/>
      <c r="DZ23" s="31"/>
      <c r="EA23" s="31"/>
      <c r="EB23" s="31"/>
      <c r="EC23" s="31"/>
      <c r="ED23" s="31"/>
      <c r="EE23" s="31"/>
      <c r="EF23" s="31"/>
      <c r="EG23" s="31"/>
      <c r="EH23" s="31"/>
      <c r="EI23" s="31"/>
      <c r="EJ23" s="31"/>
      <c r="EK23" s="31"/>
      <c r="EL23" s="31"/>
      <c r="EM23" s="31"/>
      <c r="EN23" s="31"/>
      <c r="EO23" s="31"/>
      <c r="EP23" s="31"/>
      <c r="EQ23" s="31"/>
      <c r="ER23" s="31"/>
      <c r="ES23" s="31"/>
      <c r="ET23" s="31"/>
      <c r="EU23" s="31"/>
      <c r="EV23" s="31"/>
      <c r="EW23" s="31"/>
      <c r="EX23" s="31"/>
      <c r="EY23" s="31"/>
      <c r="EZ23" s="31"/>
      <c r="FA23" s="31"/>
      <c r="FB23" s="31"/>
      <c r="FC23" s="31"/>
      <c r="FD23" s="31"/>
      <c r="FE23" s="31"/>
      <c r="FF23" s="31"/>
      <c r="FG23" s="31"/>
      <c r="FH23" s="31"/>
      <c r="FI23" s="31"/>
      <c r="FJ23" s="31"/>
      <c r="FK23" s="31"/>
      <c r="FL23" s="31"/>
      <c r="FM23" s="31"/>
      <c r="FN23" s="31"/>
      <c r="FO23" s="31"/>
      <c r="FP23" s="31"/>
      <c r="FQ23" s="31"/>
      <c r="FR23" s="31"/>
      <c r="FS23" s="31"/>
      <c r="FT23" s="31"/>
      <c r="FU23" s="31"/>
      <c r="FV23" s="31"/>
      <c r="FW23" s="31"/>
      <c r="FX23" s="31"/>
      <c r="FY23" s="31"/>
      <c r="FZ23" s="31"/>
      <c r="GA23" s="31"/>
      <c r="GB23" s="31"/>
      <c r="GC23" s="31"/>
      <c r="GD23" s="31"/>
      <c r="GE23" s="31"/>
      <c r="GF23" s="31"/>
      <c r="GG23" s="31"/>
      <c r="GH23" s="31"/>
      <c r="GI23" s="31"/>
      <c r="GJ23" s="31"/>
      <c r="GK23" s="31"/>
      <c r="GL23" s="31"/>
      <c r="GM23" s="31"/>
      <c r="GN23" s="31"/>
      <c r="GO23" s="31"/>
      <c r="GP23" s="31"/>
      <c r="GQ23" s="31"/>
      <c r="GR23" s="31"/>
      <c r="GS23" s="31"/>
      <c r="GT23" s="31"/>
      <c r="GU23" s="31"/>
      <c r="GV23" s="31"/>
      <c r="GW23" s="31"/>
      <c r="GX23" s="31"/>
      <c r="GY23" s="31"/>
      <c r="GZ23" s="31"/>
      <c r="HA23" s="31"/>
      <c r="HB23" s="31"/>
      <c r="HC23" s="31"/>
      <c r="HD23" s="31"/>
      <c r="HE23" s="31"/>
      <c r="HF23" s="31"/>
      <c r="HG23" s="31"/>
      <c r="HH23" s="31"/>
      <c r="HI23" s="31"/>
      <c r="HJ23" s="31"/>
      <c r="HK23" s="31"/>
      <c r="HL23" s="31"/>
      <c r="HM23" s="31"/>
      <c r="HN23" s="31"/>
      <c r="HO23" s="31"/>
      <c r="HP23" s="31"/>
      <c r="HQ23" s="31"/>
      <c r="HR23" s="31"/>
      <c r="HS23" s="31"/>
      <c r="HT23" s="31"/>
      <c r="HU23" s="31"/>
      <c r="HV23" s="31"/>
      <c r="HW23" s="31"/>
      <c r="HX23" s="31"/>
      <c r="HY23" s="31"/>
      <c r="HZ23" s="31"/>
      <c r="IA23" s="31"/>
    </row>
    <row r="24" spans="1:235" ht="14.5" x14ac:dyDescent="0.35">
      <c r="A24" s="55" t="s">
        <v>182</v>
      </c>
      <c r="B24" s="46"/>
      <c r="C24" s="46"/>
      <c r="D24" s="46"/>
      <c r="E24" s="46"/>
      <c r="F24" s="46"/>
      <c r="G24" s="46"/>
      <c r="H24" s="46">
        <v>16030700</v>
      </c>
      <c r="I24" s="46"/>
      <c r="J24" s="46"/>
      <c r="K24" s="46"/>
      <c r="L24" s="46"/>
      <c r="M24" s="46"/>
      <c r="N24" s="46"/>
      <c r="O24" s="46"/>
      <c r="P24" s="47"/>
      <c r="Q24" s="47"/>
      <c r="R24" s="47"/>
      <c r="S24" s="27"/>
      <c r="T24" s="30" t="s">
        <v>77</v>
      </c>
      <c r="U24" s="54"/>
      <c r="V24" s="69">
        <v>45660</v>
      </c>
      <c r="W24" s="69"/>
      <c r="X24" s="31">
        <v>308735</v>
      </c>
      <c r="Y24" s="31"/>
      <c r="Z24" s="31">
        <v>308735</v>
      </c>
      <c r="AA24" s="31" t="s">
        <v>30</v>
      </c>
      <c r="AB24" s="27">
        <f t="shared" si="2"/>
        <v>308735</v>
      </c>
      <c r="AC24" s="31" t="s">
        <v>53</v>
      </c>
      <c r="AD24" s="31"/>
      <c r="AE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1"/>
      <c r="BP24" s="31"/>
      <c r="BQ24" s="31"/>
      <c r="BR24" s="31"/>
      <c r="BS24" s="31"/>
      <c r="BT24" s="31"/>
      <c r="BU24" s="31"/>
      <c r="BV24" s="31"/>
      <c r="BW24" s="31"/>
      <c r="BX24" s="31"/>
      <c r="BY24" s="31"/>
      <c r="BZ24" s="31"/>
      <c r="CA24" s="31"/>
      <c r="CB24" s="31"/>
      <c r="CC24" s="31"/>
      <c r="CD24" s="31"/>
      <c r="CE24" s="31"/>
      <c r="CF24" s="31"/>
      <c r="CG24" s="31"/>
      <c r="CH24" s="31"/>
      <c r="CI24" s="31"/>
      <c r="CJ24" s="31"/>
      <c r="CK24" s="31"/>
      <c r="CL24" s="31"/>
      <c r="CM24" s="31"/>
      <c r="CN24" s="31"/>
      <c r="CO24" s="31"/>
      <c r="CP24" s="31"/>
      <c r="CQ24" s="31"/>
      <c r="CR24" s="31"/>
      <c r="CS24" s="31"/>
      <c r="CT24" s="31"/>
      <c r="CU24" s="31"/>
      <c r="CV24" s="31"/>
      <c r="CW24" s="31"/>
      <c r="CX24" s="31"/>
      <c r="CY24" s="31"/>
      <c r="CZ24" s="31"/>
      <c r="DA24" s="31"/>
      <c r="DB24" s="31"/>
      <c r="DC24" s="31"/>
      <c r="DD24" s="31"/>
      <c r="DE24" s="31"/>
      <c r="DF24" s="31"/>
      <c r="DG24" s="31"/>
      <c r="DH24" s="31"/>
      <c r="DI24" s="31"/>
      <c r="DJ24" s="31"/>
      <c r="DK24" s="31"/>
      <c r="DL24" s="31"/>
      <c r="DM24" s="31"/>
      <c r="DN24" s="31"/>
      <c r="DO24" s="31"/>
      <c r="DP24" s="31"/>
      <c r="DQ24" s="31"/>
      <c r="DR24" s="31"/>
      <c r="DS24" s="31"/>
      <c r="DT24" s="31"/>
      <c r="DU24" s="31"/>
      <c r="DV24" s="31"/>
      <c r="DW24" s="31"/>
      <c r="DX24" s="31"/>
      <c r="DY24" s="31"/>
      <c r="DZ24" s="31"/>
      <c r="EA24" s="31"/>
      <c r="EB24" s="31"/>
      <c r="EC24" s="31"/>
      <c r="ED24" s="31"/>
      <c r="EE24" s="31"/>
      <c r="EF24" s="31"/>
      <c r="EG24" s="31"/>
      <c r="EH24" s="31"/>
      <c r="EI24" s="31"/>
      <c r="EJ24" s="31"/>
      <c r="EK24" s="31"/>
      <c r="EL24" s="31"/>
      <c r="EM24" s="31"/>
      <c r="EN24" s="31"/>
      <c r="EO24" s="31"/>
      <c r="EP24" s="31"/>
      <c r="EQ24" s="31"/>
      <c r="ER24" s="31"/>
      <c r="ES24" s="31"/>
      <c r="ET24" s="31"/>
      <c r="EU24" s="31"/>
      <c r="EV24" s="31"/>
      <c r="EW24" s="31"/>
      <c r="EX24" s="31"/>
      <c r="EY24" s="31"/>
      <c r="EZ24" s="31"/>
      <c r="FA24" s="31"/>
      <c r="FB24" s="31"/>
      <c r="FC24" s="31"/>
      <c r="FD24" s="31"/>
      <c r="FE24" s="31"/>
      <c r="FF24" s="31"/>
      <c r="FG24" s="31"/>
      <c r="FH24" s="31"/>
      <c r="FI24" s="31"/>
      <c r="FJ24" s="31"/>
      <c r="FK24" s="31"/>
      <c r="FL24" s="31"/>
      <c r="FM24" s="31"/>
      <c r="FN24" s="31"/>
      <c r="FO24" s="31"/>
      <c r="FP24" s="31"/>
      <c r="FQ24" s="31"/>
      <c r="FR24" s="31"/>
      <c r="FS24" s="31"/>
      <c r="FT24" s="31"/>
      <c r="FU24" s="31"/>
      <c r="FV24" s="31"/>
      <c r="FW24" s="31"/>
      <c r="FX24" s="31"/>
      <c r="FY24" s="31"/>
      <c r="FZ24" s="31"/>
      <c r="GA24" s="31"/>
      <c r="GB24" s="31"/>
      <c r="GC24" s="31"/>
      <c r="GD24" s="31"/>
      <c r="GE24" s="31"/>
      <c r="GF24" s="31"/>
      <c r="GG24" s="31"/>
      <c r="GH24" s="31"/>
      <c r="GI24" s="31"/>
      <c r="GJ24" s="31"/>
      <c r="GK24" s="31"/>
      <c r="GL24" s="31"/>
      <c r="GM24" s="31"/>
      <c r="GN24" s="31"/>
      <c r="GO24" s="31"/>
      <c r="GP24" s="31"/>
      <c r="GQ24" s="31"/>
      <c r="GR24" s="31"/>
      <c r="GS24" s="31"/>
      <c r="GT24" s="31"/>
      <c r="GU24" s="31"/>
      <c r="GV24" s="31"/>
      <c r="GW24" s="31"/>
      <c r="GX24" s="31"/>
      <c r="GY24" s="31"/>
      <c r="GZ24" s="31"/>
      <c r="HA24" s="31"/>
      <c r="HB24" s="31"/>
      <c r="HC24" s="31"/>
      <c r="HD24" s="31"/>
      <c r="HE24" s="31"/>
      <c r="HF24" s="31"/>
      <c r="HG24" s="31"/>
      <c r="HH24" s="31"/>
      <c r="HI24" s="31"/>
      <c r="HJ24" s="31"/>
      <c r="HK24" s="31"/>
      <c r="HL24" s="31"/>
      <c r="HM24" s="31"/>
      <c r="HN24" s="31"/>
      <c r="HO24" s="31"/>
      <c r="HP24" s="31"/>
      <c r="HQ24" s="31"/>
      <c r="HR24" s="31"/>
      <c r="HS24" s="31"/>
      <c r="HT24" s="31"/>
      <c r="HU24" s="31"/>
      <c r="HV24" s="31"/>
      <c r="HW24" s="31"/>
      <c r="HX24" s="31"/>
      <c r="HY24" s="31"/>
      <c r="HZ24" s="31"/>
      <c r="IA24" s="31"/>
    </row>
    <row r="25" spans="1:235" ht="14.5" x14ac:dyDescent="0.35">
      <c r="A25" s="55" t="s">
        <v>187</v>
      </c>
      <c r="B25" s="46"/>
      <c r="C25" s="46"/>
      <c r="D25" s="46"/>
      <c r="E25" s="46"/>
      <c r="F25" s="46"/>
      <c r="G25" s="46"/>
      <c r="H25" s="46"/>
      <c r="I25" s="46">
        <v>521800</v>
      </c>
      <c r="J25" s="46"/>
      <c r="K25" s="46"/>
      <c r="L25" s="46"/>
      <c r="M25" s="46"/>
      <c r="N25" s="46"/>
      <c r="O25" s="46"/>
      <c r="P25" s="47"/>
      <c r="Q25" s="47"/>
      <c r="R25" s="47"/>
      <c r="S25" s="27"/>
      <c r="T25" s="30"/>
      <c r="U25" s="54"/>
      <c r="V25" s="69"/>
      <c r="W25" s="69"/>
      <c r="X25" s="31"/>
      <c r="Y25" s="31"/>
      <c r="Z25" s="31"/>
      <c r="AA25" s="31"/>
      <c r="AB25" s="27"/>
      <c r="AC25" s="31"/>
      <c r="AD25" s="31"/>
      <c r="AE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  <c r="CG25" s="31"/>
      <c r="CH25" s="31"/>
      <c r="CI25" s="31"/>
      <c r="CJ25" s="31"/>
      <c r="CK25" s="31"/>
      <c r="CL25" s="31"/>
      <c r="CM25" s="31"/>
      <c r="CN25" s="31"/>
      <c r="CO25" s="31"/>
      <c r="CP25" s="31"/>
      <c r="CQ25" s="31"/>
      <c r="CR25" s="31"/>
      <c r="CS25" s="31"/>
      <c r="CT25" s="31"/>
      <c r="CU25" s="31"/>
      <c r="CV25" s="31"/>
      <c r="CW25" s="31"/>
      <c r="CX25" s="31"/>
      <c r="CY25" s="31"/>
      <c r="CZ25" s="31"/>
      <c r="DA25" s="31"/>
      <c r="DB25" s="31"/>
      <c r="DC25" s="31"/>
      <c r="DD25" s="31"/>
      <c r="DE25" s="31"/>
      <c r="DF25" s="31"/>
      <c r="DG25" s="31"/>
      <c r="DH25" s="31"/>
      <c r="DI25" s="31"/>
      <c r="DJ25" s="31"/>
      <c r="DK25" s="31"/>
      <c r="DL25" s="31"/>
      <c r="DM25" s="31"/>
      <c r="DN25" s="31"/>
      <c r="DO25" s="31"/>
      <c r="DP25" s="31"/>
      <c r="DQ25" s="31"/>
      <c r="DR25" s="31"/>
      <c r="DS25" s="31"/>
      <c r="DT25" s="31"/>
      <c r="DU25" s="31"/>
      <c r="DV25" s="31"/>
      <c r="DW25" s="31"/>
      <c r="DX25" s="31"/>
      <c r="DY25" s="31"/>
      <c r="DZ25" s="31"/>
      <c r="EA25" s="31"/>
      <c r="EB25" s="31"/>
      <c r="EC25" s="31"/>
      <c r="ED25" s="31"/>
      <c r="EE25" s="31"/>
      <c r="EF25" s="31"/>
      <c r="EG25" s="31"/>
      <c r="EH25" s="31"/>
      <c r="EI25" s="31"/>
      <c r="EJ25" s="31"/>
      <c r="EK25" s="31"/>
      <c r="EL25" s="31"/>
      <c r="EM25" s="31"/>
      <c r="EN25" s="31"/>
      <c r="EO25" s="31"/>
      <c r="EP25" s="31"/>
      <c r="EQ25" s="31"/>
      <c r="ER25" s="31"/>
      <c r="ES25" s="31"/>
      <c r="ET25" s="31"/>
      <c r="EU25" s="31"/>
      <c r="EV25" s="31"/>
      <c r="EW25" s="31"/>
      <c r="EX25" s="31"/>
      <c r="EY25" s="31"/>
      <c r="EZ25" s="31"/>
      <c r="FA25" s="31"/>
      <c r="FB25" s="31"/>
      <c r="FC25" s="31"/>
      <c r="FD25" s="31"/>
      <c r="FE25" s="31"/>
      <c r="FF25" s="31"/>
      <c r="FG25" s="31"/>
      <c r="FH25" s="31"/>
      <c r="FI25" s="31"/>
      <c r="FJ25" s="31"/>
      <c r="FK25" s="31"/>
      <c r="FL25" s="31"/>
      <c r="FM25" s="31"/>
      <c r="FN25" s="31"/>
      <c r="FO25" s="31"/>
      <c r="FP25" s="31"/>
      <c r="FQ25" s="31"/>
      <c r="FR25" s="31"/>
      <c r="FS25" s="31"/>
      <c r="FT25" s="31"/>
      <c r="FU25" s="31"/>
      <c r="FV25" s="31"/>
      <c r="FW25" s="31"/>
      <c r="FX25" s="31"/>
      <c r="FY25" s="31"/>
      <c r="FZ25" s="31"/>
      <c r="GA25" s="31"/>
      <c r="GB25" s="31"/>
      <c r="GC25" s="31"/>
      <c r="GD25" s="31"/>
      <c r="GE25" s="31"/>
      <c r="GF25" s="31"/>
      <c r="GG25" s="31"/>
      <c r="GH25" s="31"/>
      <c r="GI25" s="31"/>
      <c r="GJ25" s="31"/>
      <c r="GK25" s="31"/>
      <c r="GL25" s="31"/>
      <c r="GM25" s="31"/>
      <c r="GN25" s="31"/>
      <c r="GO25" s="31"/>
      <c r="GP25" s="31"/>
      <c r="GQ25" s="31"/>
      <c r="GR25" s="31"/>
      <c r="GS25" s="31"/>
      <c r="GT25" s="31"/>
      <c r="GU25" s="31"/>
      <c r="GV25" s="31"/>
      <c r="GW25" s="31"/>
      <c r="GX25" s="31"/>
      <c r="GY25" s="31"/>
      <c r="GZ25" s="31"/>
      <c r="HA25" s="31"/>
      <c r="HB25" s="31"/>
      <c r="HC25" s="31"/>
      <c r="HD25" s="31"/>
      <c r="HE25" s="31"/>
      <c r="HF25" s="31"/>
      <c r="HG25" s="31"/>
      <c r="HH25" s="31"/>
      <c r="HI25" s="31"/>
      <c r="HJ25" s="31"/>
      <c r="HK25" s="31"/>
      <c r="HL25" s="31"/>
      <c r="HM25" s="31"/>
      <c r="HN25" s="31"/>
      <c r="HO25" s="31"/>
      <c r="HP25" s="31"/>
      <c r="HQ25" s="31"/>
      <c r="HR25" s="31"/>
      <c r="HS25" s="31"/>
      <c r="HT25" s="31"/>
      <c r="HU25" s="31"/>
      <c r="HV25" s="31"/>
      <c r="HW25" s="31"/>
      <c r="HX25" s="31"/>
      <c r="HY25" s="31"/>
      <c r="HZ25" s="31"/>
      <c r="IA25" s="31"/>
    </row>
    <row r="26" spans="1:235" ht="14.5" x14ac:dyDescent="0.35">
      <c r="A26" s="55" t="s">
        <v>183</v>
      </c>
      <c r="B26" s="46"/>
      <c r="C26" s="46"/>
      <c r="D26" s="46"/>
      <c r="E26" s="46"/>
      <c r="F26" s="46"/>
      <c r="G26" s="46"/>
      <c r="H26" s="46"/>
      <c r="I26" s="46">
        <v>40000</v>
      </c>
      <c r="J26" s="46"/>
      <c r="K26" s="46"/>
      <c r="L26" s="46"/>
      <c r="M26" s="46"/>
      <c r="N26" s="46"/>
      <c r="O26" s="46"/>
      <c r="P26" s="47"/>
      <c r="Q26" s="47"/>
      <c r="R26" s="47"/>
      <c r="S26" s="27"/>
      <c r="T26" s="30"/>
      <c r="U26" s="54"/>
      <c r="V26" s="69"/>
      <c r="W26" s="69"/>
      <c r="X26" s="31"/>
      <c r="Y26" s="31"/>
      <c r="Z26" s="31"/>
      <c r="AA26" s="31"/>
      <c r="AB26" s="27"/>
      <c r="AC26" s="31"/>
      <c r="AD26" s="31"/>
      <c r="AE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1"/>
      <c r="BP26" s="31"/>
      <c r="BQ26" s="31"/>
      <c r="BR26" s="31"/>
      <c r="BS26" s="31"/>
      <c r="BT26" s="31"/>
      <c r="BU26" s="31"/>
      <c r="BV26" s="31"/>
      <c r="BW26" s="31"/>
      <c r="BX26" s="31"/>
      <c r="BY26" s="31"/>
      <c r="BZ26" s="31"/>
      <c r="CA26" s="31"/>
      <c r="CB26" s="31"/>
      <c r="CC26" s="31"/>
      <c r="CD26" s="31"/>
      <c r="CE26" s="31"/>
      <c r="CF26" s="31"/>
      <c r="CG26" s="31"/>
      <c r="CH26" s="31"/>
      <c r="CI26" s="31"/>
      <c r="CJ26" s="31"/>
      <c r="CK26" s="31"/>
      <c r="CL26" s="31"/>
      <c r="CM26" s="31"/>
      <c r="CN26" s="31"/>
      <c r="CO26" s="31"/>
      <c r="CP26" s="31"/>
      <c r="CQ26" s="31"/>
      <c r="CR26" s="31"/>
      <c r="CS26" s="31"/>
      <c r="CT26" s="31"/>
      <c r="CU26" s="31"/>
      <c r="CV26" s="31"/>
      <c r="CW26" s="31"/>
      <c r="CX26" s="31"/>
      <c r="CY26" s="31"/>
      <c r="CZ26" s="31"/>
      <c r="DA26" s="31"/>
      <c r="DB26" s="31"/>
      <c r="DC26" s="31"/>
      <c r="DD26" s="31"/>
      <c r="DE26" s="31"/>
      <c r="DF26" s="31"/>
      <c r="DG26" s="31"/>
      <c r="DH26" s="31"/>
      <c r="DI26" s="31"/>
      <c r="DJ26" s="31"/>
      <c r="DK26" s="31"/>
      <c r="DL26" s="31"/>
      <c r="DM26" s="31"/>
      <c r="DN26" s="31"/>
      <c r="DO26" s="31"/>
      <c r="DP26" s="31"/>
      <c r="DQ26" s="31"/>
      <c r="DR26" s="31"/>
      <c r="DS26" s="31"/>
      <c r="DT26" s="31"/>
      <c r="DU26" s="31"/>
      <c r="DV26" s="31"/>
      <c r="DW26" s="31"/>
      <c r="DX26" s="31"/>
      <c r="DY26" s="31"/>
      <c r="DZ26" s="31"/>
      <c r="EA26" s="31"/>
      <c r="EB26" s="31"/>
      <c r="EC26" s="31"/>
      <c r="ED26" s="31"/>
      <c r="EE26" s="31"/>
      <c r="EF26" s="31"/>
      <c r="EG26" s="31"/>
      <c r="EH26" s="31"/>
      <c r="EI26" s="31"/>
      <c r="EJ26" s="31"/>
      <c r="EK26" s="31"/>
      <c r="EL26" s="31"/>
      <c r="EM26" s="31"/>
      <c r="EN26" s="31"/>
      <c r="EO26" s="31"/>
      <c r="EP26" s="31"/>
      <c r="EQ26" s="31"/>
      <c r="ER26" s="31"/>
      <c r="ES26" s="31"/>
      <c r="ET26" s="31"/>
      <c r="EU26" s="31"/>
      <c r="EV26" s="31"/>
      <c r="EW26" s="31"/>
      <c r="EX26" s="31"/>
      <c r="EY26" s="31"/>
      <c r="EZ26" s="31"/>
      <c r="FA26" s="31"/>
      <c r="FB26" s="31"/>
      <c r="FC26" s="31"/>
      <c r="FD26" s="31"/>
      <c r="FE26" s="31"/>
      <c r="FF26" s="31"/>
      <c r="FG26" s="31"/>
      <c r="FH26" s="31"/>
      <c r="FI26" s="31"/>
      <c r="FJ26" s="31"/>
      <c r="FK26" s="31"/>
      <c r="FL26" s="31"/>
      <c r="FM26" s="31"/>
      <c r="FN26" s="31"/>
      <c r="FO26" s="31"/>
      <c r="FP26" s="31"/>
      <c r="FQ26" s="31"/>
      <c r="FR26" s="31"/>
      <c r="FS26" s="31"/>
      <c r="FT26" s="31"/>
      <c r="FU26" s="31"/>
      <c r="FV26" s="31"/>
      <c r="FW26" s="31"/>
      <c r="FX26" s="31"/>
      <c r="FY26" s="31"/>
      <c r="FZ26" s="31"/>
      <c r="GA26" s="31"/>
      <c r="GB26" s="31"/>
      <c r="GC26" s="31"/>
      <c r="GD26" s="31"/>
      <c r="GE26" s="31"/>
      <c r="GF26" s="31"/>
      <c r="GG26" s="31"/>
      <c r="GH26" s="31"/>
      <c r="GI26" s="31"/>
      <c r="GJ26" s="31"/>
      <c r="GK26" s="31"/>
      <c r="GL26" s="31"/>
      <c r="GM26" s="31"/>
      <c r="GN26" s="31"/>
      <c r="GO26" s="31"/>
      <c r="GP26" s="31"/>
      <c r="GQ26" s="31"/>
      <c r="GR26" s="31"/>
      <c r="GS26" s="31"/>
      <c r="GT26" s="31"/>
      <c r="GU26" s="31"/>
      <c r="GV26" s="31"/>
      <c r="GW26" s="31"/>
      <c r="GX26" s="31"/>
      <c r="GY26" s="31"/>
      <c r="GZ26" s="31"/>
      <c r="HA26" s="31"/>
      <c r="HB26" s="31"/>
      <c r="HC26" s="31"/>
      <c r="HD26" s="31"/>
      <c r="HE26" s="31"/>
      <c r="HF26" s="31"/>
      <c r="HG26" s="31"/>
      <c r="HH26" s="31"/>
      <c r="HI26" s="31"/>
      <c r="HJ26" s="31"/>
      <c r="HK26" s="31"/>
      <c r="HL26" s="31"/>
      <c r="HM26" s="31"/>
      <c r="HN26" s="31"/>
      <c r="HO26" s="31"/>
      <c r="HP26" s="31"/>
      <c r="HQ26" s="31"/>
      <c r="HR26" s="31"/>
      <c r="HS26" s="31"/>
      <c r="HT26" s="31"/>
      <c r="HU26" s="31"/>
      <c r="HV26" s="31"/>
      <c r="HW26" s="31"/>
      <c r="HX26" s="31"/>
      <c r="HY26" s="31"/>
      <c r="HZ26" s="31"/>
      <c r="IA26" s="31"/>
    </row>
    <row r="27" spans="1:235" ht="14.25" customHeight="1" x14ac:dyDescent="0.35">
      <c r="A27" s="55" t="s">
        <v>76</v>
      </c>
      <c r="B27" s="46"/>
      <c r="C27" s="46"/>
      <c r="D27" s="46"/>
      <c r="E27" s="46">
        <v>230000</v>
      </c>
      <c r="F27" s="46">
        <v>1417600</v>
      </c>
      <c r="G27" s="46">
        <v>1738926</v>
      </c>
      <c r="H27" s="46">
        <v>1626095</v>
      </c>
      <c r="I27" s="46">
        <v>873000</v>
      </c>
      <c r="J27" s="46"/>
      <c r="K27" s="46"/>
      <c r="L27" s="46"/>
      <c r="M27" s="46"/>
      <c r="N27" s="46"/>
      <c r="O27" s="46"/>
      <c r="P27" s="47"/>
      <c r="Q27" s="47"/>
      <c r="R27" s="47"/>
      <c r="S27" s="27"/>
      <c r="T27" s="30" t="s">
        <v>79</v>
      </c>
      <c r="U27" s="54"/>
      <c r="V27" s="69">
        <v>45660</v>
      </c>
      <c r="W27" s="69"/>
      <c r="X27" s="31">
        <v>60000</v>
      </c>
      <c r="Y27" s="31"/>
      <c r="Z27" s="31">
        <v>60000</v>
      </c>
      <c r="AA27" s="31" t="s">
        <v>30</v>
      </c>
      <c r="AB27" s="27">
        <f t="shared" si="2"/>
        <v>60000</v>
      </c>
      <c r="AC27" s="31" t="s">
        <v>33</v>
      </c>
      <c r="AD27" s="31"/>
      <c r="AE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  <c r="CW27" s="31"/>
      <c r="CX27" s="31"/>
      <c r="CY27" s="31"/>
      <c r="CZ27" s="31"/>
      <c r="DA27" s="31"/>
      <c r="DB27" s="31"/>
      <c r="DC27" s="31"/>
      <c r="DD27" s="31"/>
      <c r="DE27" s="31"/>
      <c r="DF27" s="31"/>
      <c r="DG27" s="31"/>
      <c r="DH27" s="31"/>
      <c r="DI27" s="31"/>
      <c r="DJ27" s="31"/>
      <c r="DK27" s="31"/>
      <c r="DL27" s="31"/>
      <c r="DM27" s="31"/>
      <c r="DN27" s="31"/>
      <c r="DO27" s="31"/>
      <c r="DP27" s="31"/>
      <c r="DQ27" s="31"/>
      <c r="DR27" s="31"/>
      <c r="DS27" s="31"/>
      <c r="DT27" s="31"/>
      <c r="DU27" s="31"/>
      <c r="DV27" s="31"/>
      <c r="DW27" s="31"/>
      <c r="DX27" s="31"/>
      <c r="DY27" s="31"/>
      <c r="DZ27" s="31"/>
      <c r="EA27" s="31"/>
      <c r="EB27" s="31"/>
      <c r="EC27" s="31"/>
      <c r="ED27" s="31"/>
      <c r="EE27" s="31"/>
      <c r="EF27" s="31"/>
      <c r="EG27" s="31"/>
      <c r="EH27" s="31"/>
      <c r="EI27" s="31"/>
      <c r="EJ27" s="31"/>
      <c r="EK27" s="31"/>
      <c r="EL27" s="31"/>
      <c r="EM27" s="31"/>
      <c r="EN27" s="31"/>
      <c r="EO27" s="31"/>
      <c r="EP27" s="31"/>
      <c r="EQ27" s="31"/>
      <c r="ER27" s="31"/>
      <c r="ES27" s="31"/>
      <c r="ET27" s="31"/>
      <c r="EU27" s="31"/>
      <c r="EV27" s="31"/>
      <c r="EW27" s="31"/>
      <c r="EX27" s="31"/>
      <c r="EY27" s="31"/>
      <c r="EZ27" s="31"/>
      <c r="FA27" s="31"/>
      <c r="FB27" s="31"/>
      <c r="FC27" s="31"/>
      <c r="FD27" s="31"/>
      <c r="FE27" s="31"/>
      <c r="FF27" s="31"/>
      <c r="FG27" s="31"/>
      <c r="FH27" s="31"/>
      <c r="FI27" s="31"/>
      <c r="FJ27" s="31"/>
      <c r="FK27" s="31"/>
      <c r="FL27" s="31"/>
      <c r="FM27" s="31"/>
      <c r="FN27" s="31"/>
      <c r="FO27" s="31"/>
      <c r="FP27" s="31"/>
      <c r="FQ27" s="31"/>
      <c r="FR27" s="31"/>
      <c r="FS27" s="31"/>
      <c r="FT27" s="31"/>
      <c r="FU27" s="31"/>
      <c r="FV27" s="31"/>
      <c r="FW27" s="31"/>
      <c r="FX27" s="31"/>
      <c r="FY27" s="31"/>
      <c r="FZ27" s="31"/>
      <c r="GA27" s="31"/>
      <c r="GB27" s="31"/>
      <c r="GC27" s="31"/>
      <c r="GD27" s="31"/>
      <c r="GE27" s="31"/>
      <c r="GF27" s="31"/>
      <c r="GG27" s="31"/>
      <c r="GH27" s="31"/>
      <c r="GI27" s="31"/>
      <c r="GJ27" s="31"/>
      <c r="GK27" s="31"/>
      <c r="GL27" s="31"/>
      <c r="GM27" s="31"/>
      <c r="GN27" s="31"/>
      <c r="GO27" s="31"/>
      <c r="GP27" s="31"/>
      <c r="GQ27" s="31"/>
      <c r="GR27" s="31"/>
      <c r="GS27" s="31"/>
      <c r="GT27" s="31"/>
      <c r="GU27" s="31"/>
      <c r="GV27" s="31"/>
      <c r="GW27" s="31"/>
      <c r="GX27" s="31"/>
      <c r="GY27" s="31"/>
      <c r="GZ27" s="31"/>
      <c r="HA27" s="31"/>
      <c r="HB27" s="31"/>
      <c r="HC27" s="31"/>
      <c r="HD27" s="31"/>
      <c r="HE27" s="31"/>
      <c r="HF27" s="31"/>
      <c r="HG27" s="31"/>
      <c r="HH27" s="31"/>
      <c r="HI27" s="31"/>
      <c r="HJ27" s="31"/>
      <c r="HK27" s="31"/>
      <c r="HL27" s="31"/>
      <c r="HM27" s="31"/>
      <c r="HN27" s="31"/>
      <c r="HO27" s="31"/>
      <c r="HP27" s="31"/>
      <c r="HQ27" s="31"/>
      <c r="HR27" s="31"/>
      <c r="HS27" s="31"/>
      <c r="HT27" s="31"/>
      <c r="HU27" s="31"/>
      <c r="HV27" s="31"/>
      <c r="HW27" s="31"/>
      <c r="HX27" s="31"/>
      <c r="HY27" s="31"/>
      <c r="HZ27" s="31"/>
      <c r="IA27" s="31"/>
    </row>
    <row r="28" spans="1:235" ht="14.25" customHeight="1" x14ac:dyDescent="0.35">
      <c r="A28" s="55" t="s">
        <v>78</v>
      </c>
      <c r="B28" s="46"/>
      <c r="C28" s="46"/>
      <c r="D28" s="46"/>
      <c r="E28" s="46"/>
      <c r="F28" s="46"/>
      <c r="G28" s="46"/>
      <c r="H28" s="46"/>
      <c r="I28" s="46"/>
      <c r="J28" s="46">
        <v>100000</v>
      </c>
      <c r="K28" s="46"/>
      <c r="L28" s="46"/>
      <c r="M28" s="46"/>
      <c r="N28" s="46"/>
      <c r="O28" s="46"/>
      <c r="P28" s="47"/>
      <c r="Q28" s="47"/>
      <c r="R28" s="47"/>
      <c r="S28" s="27"/>
      <c r="T28" s="30" t="s">
        <v>81</v>
      </c>
      <c r="U28" s="54"/>
      <c r="V28" s="69">
        <v>45666</v>
      </c>
      <c r="W28" s="69"/>
      <c r="X28" s="31">
        <v>1630000</v>
      </c>
      <c r="Y28" s="31"/>
      <c r="Z28" s="31">
        <v>1630000</v>
      </c>
      <c r="AA28" s="31" t="s">
        <v>29</v>
      </c>
      <c r="AB28" s="27">
        <f t="shared" si="2"/>
        <v>1630000</v>
      </c>
      <c r="AC28" s="31" t="s">
        <v>53</v>
      </c>
      <c r="AD28" s="31"/>
      <c r="AE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1"/>
      <c r="BP28" s="31"/>
      <c r="BQ28" s="31"/>
      <c r="BR28" s="31"/>
      <c r="BS28" s="31"/>
      <c r="BT28" s="31"/>
      <c r="BU28" s="31"/>
      <c r="BV28" s="31"/>
      <c r="BW28" s="31"/>
      <c r="BX28" s="31"/>
      <c r="BY28" s="31"/>
      <c r="BZ28" s="31"/>
      <c r="CA28" s="31"/>
      <c r="CB28" s="31"/>
      <c r="CC28" s="31"/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  <c r="CW28" s="31"/>
      <c r="CX28" s="31"/>
      <c r="CY28" s="31"/>
      <c r="CZ28" s="31"/>
      <c r="DA28" s="31"/>
      <c r="DB28" s="31"/>
      <c r="DC28" s="31"/>
      <c r="DD28" s="31"/>
      <c r="DE28" s="31"/>
      <c r="DF28" s="31"/>
      <c r="DG28" s="31"/>
      <c r="DH28" s="31"/>
      <c r="DI28" s="31"/>
      <c r="DJ28" s="31"/>
      <c r="DK28" s="31"/>
      <c r="DL28" s="31"/>
      <c r="DM28" s="31"/>
      <c r="DN28" s="31"/>
      <c r="DO28" s="31"/>
      <c r="DP28" s="31"/>
      <c r="DQ28" s="31"/>
      <c r="DR28" s="31"/>
      <c r="DS28" s="31"/>
      <c r="DT28" s="31"/>
      <c r="DU28" s="31"/>
      <c r="DV28" s="31"/>
      <c r="DW28" s="31"/>
      <c r="DX28" s="31"/>
      <c r="DY28" s="31"/>
      <c r="DZ28" s="31"/>
      <c r="EA28" s="31"/>
      <c r="EB28" s="31"/>
      <c r="EC28" s="31"/>
      <c r="ED28" s="31"/>
      <c r="EE28" s="31"/>
      <c r="EF28" s="31"/>
      <c r="EG28" s="31"/>
      <c r="EH28" s="31"/>
      <c r="EI28" s="31"/>
      <c r="EJ28" s="31"/>
      <c r="EK28" s="31"/>
      <c r="EL28" s="31"/>
      <c r="EM28" s="31"/>
      <c r="EN28" s="31"/>
      <c r="EO28" s="31"/>
      <c r="EP28" s="31"/>
      <c r="EQ28" s="31"/>
      <c r="ER28" s="31"/>
      <c r="ES28" s="31"/>
      <c r="ET28" s="31"/>
      <c r="EU28" s="31"/>
      <c r="EV28" s="31"/>
      <c r="EW28" s="31"/>
      <c r="EX28" s="31"/>
      <c r="EY28" s="31"/>
      <c r="EZ28" s="31"/>
      <c r="FA28" s="31"/>
      <c r="FB28" s="31"/>
      <c r="FC28" s="31"/>
      <c r="FD28" s="31"/>
      <c r="FE28" s="31"/>
      <c r="FF28" s="31"/>
      <c r="FG28" s="31"/>
      <c r="FH28" s="31"/>
      <c r="FI28" s="31"/>
      <c r="FJ28" s="31"/>
      <c r="FK28" s="31"/>
      <c r="FL28" s="31"/>
      <c r="FM28" s="31"/>
      <c r="FN28" s="31"/>
      <c r="FO28" s="31"/>
      <c r="FP28" s="31"/>
      <c r="FQ28" s="31"/>
      <c r="FR28" s="31"/>
      <c r="FS28" s="31"/>
      <c r="FT28" s="31"/>
      <c r="FU28" s="31"/>
      <c r="FV28" s="31"/>
      <c r="FW28" s="31"/>
      <c r="FX28" s="31"/>
      <c r="FY28" s="31"/>
      <c r="FZ28" s="31"/>
      <c r="GA28" s="31"/>
      <c r="GB28" s="31"/>
      <c r="GC28" s="31"/>
      <c r="GD28" s="31"/>
      <c r="GE28" s="31"/>
      <c r="GF28" s="31"/>
      <c r="GG28" s="31"/>
      <c r="GH28" s="31"/>
      <c r="GI28" s="31"/>
      <c r="GJ28" s="31"/>
      <c r="GK28" s="31"/>
      <c r="GL28" s="31"/>
      <c r="GM28" s="31"/>
      <c r="GN28" s="31"/>
      <c r="GO28" s="31"/>
      <c r="GP28" s="31"/>
      <c r="GQ28" s="31"/>
      <c r="GR28" s="31"/>
      <c r="GS28" s="31"/>
      <c r="GT28" s="31"/>
      <c r="GU28" s="31"/>
      <c r="GV28" s="31"/>
      <c r="GW28" s="31"/>
      <c r="GX28" s="31"/>
      <c r="GY28" s="31"/>
      <c r="GZ28" s="31"/>
      <c r="HA28" s="31"/>
      <c r="HB28" s="31"/>
      <c r="HC28" s="31"/>
      <c r="HD28" s="31"/>
      <c r="HE28" s="31"/>
      <c r="HF28" s="31"/>
      <c r="HG28" s="31"/>
      <c r="HH28" s="31"/>
      <c r="HI28" s="31"/>
      <c r="HJ28" s="31"/>
      <c r="HK28" s="31"/>
      <c r="HL28" s="31"/>
      <c r="HM28" s="31"/>
      <c r="HN28" s="31"/>
      <c r="HO28" s="31"/>
      <c r="HP28" s="31"/>
      <c r="HQ28" s="31"/>
      <c r="HR28" s="31"/>
      <c r="HS28" s="31"/>
      <c r="HT28" s="31"/>
      <c r="HU28" s="31"/>
      <c r="HV28" s="31"/>
      <c r="HW28" s="31"/>
      <c r="HX28" s="31"/>
      <c r="HY28" s="31"/>
      <c r="HZ28" s="31"/>
      <c r="IA28" s="31"/>
    </row>
    <row r="29" spans="1:235" ht="14.25" customHeight="1" x14ac:dyDescent="0.35">
      <c r="A29" s="55" t="s">
        <v>80</v>
      </c>
      <c r="B29" s="46"/>
      <c r="C29" s="46"/>
      <c r="D29" s="46"/>
      <c r="E29" s="46">
        <v>130000</v>
      </c>
      <c r="F29" s="46">
        <v>991000</v>
      </c>
      <c r="G29" s="46">
        <v>1499650</v>
      </c>
      <c r="H29" s="46">
        <v>954000</v>
      </c>
      <c r="I29" s="46">
        <v>1171000</v>
      </c>
      <c r="J29" s="46">
        <v>500000</v>
      </c>
      <c r="K29" s="46">
        <v>500000</v>
      </c>
      <c r="L29" s="46">
        <v>500000</v>
      </c>
      <c r="M29" s="46">
        <v>500000</v>
      </c>
      <c r="N29" s="46">
        <v>500000</v>
      </c>
      <c r="O29" s="46">
        <v>500000</v>
      </c>
      <c r="P29" s="47"/>
      <c r="Q29" s="47"/>
      <c r="R29" s="47"/>
      <c r="S29" s="27"/>
      <c r="T29" s="30" t="s">
        <v>82</v>
      </c>
      <c r="U29" s="54"/>
      <c r="V29" s="69">
        <v>45666</v>
      </c>
      <c r="W29" s="69"/>
      <c r="X29" s="31">
        <v>60000</v>
      </c>
      <c r="Y29" s="31"/>
      <c r="Z29" s="31">
        <v>60000</v>
      </c>
      <c r="AA29" s="31" t="s">
        <v>30</v>
      </c>
      <c r="AB29" s="27">
        <f t="shared" si="2"/>
        <v>60000</v>
      </c>
      <c r="AC29" s="31" t="s">
        <v>33</v>
      </c>
      <c r="AD29" s="31"/>
      <c r="AE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1"/>
      <c r="BX29" s="31"/>
      <c r="BY29" s="31"/>
      <c r="BZ29" s="31"/>
      <c r="CA29" s="31"/>
      <c r="CB29" s="31"/>
      <c r="CC29" s="31"/>
      <c r="CD29" s="31"/>
      <c r="CE29" s="31"/>
      <c r="CF29" s="31"/>
      <c r="CG29" s="31"/>
      <c r="CH29" s="31"/>
      <c r="CI29" s="31"/>
      <c r="CJ29" s="31"/>
      <c r="CK29" s="31"/>
      <c r="CL29" s="31"/>
      <c r="CM29" s="31"/>
      <c r="CN29" s="31"/>
      <c r="CO29" s="31"/>
      <c r="CP29" s="31"/>
      <c r="CQ29" s="31"/>
      <c r="CR29" s="31"/>
      <c r="CS29" s="31"/>
      <c r="CT29" s="31"/>
      <c r="CU29" s="31"/>
      <c r="CV29" s="31"/>
      <c r="CW29" s="31"/>
      <c r="CX29" s="31"/>
      <c r="CY29" s="31"/>
      <c r="CZ29" s="31"/>
      <c r="DA29" s="31"/>
      <c r="DB29" s="31"/>
      <c r="DC29" s="31"/>
      <c r="DD29" s="31"/>
      <c r="DE29" s="31"/>
      <c r="DF29" s="31"/>
      <c r="DG29" s="31"/>
      <c r="DH29" s="31"/>
      <c r="DI29" s="31"/>
      <c r="DJ29" s="31"/>
      <c r="DK29" s="31"/>
      <c r="DL29" s="31"/>
      <c r="DM29" s="31"/>
      <c r="DN29" s="31"/>
      <c r="DO29" s="31"/>
      <c r="DP29" s="31"/>
      <c r="DQ29" s="31"/>
      <c r="DR29" s="31"/>
      <c r="DS29" s="31"/>
      <c r="DT29" s="31"/>
      <c r="DU29" s="31"/>
      <c r="DV29" s="31"/>
      <c r="DW29" s="31"/>
      <c r="DX29" s="31"/>
      <c r="DY29" s="31"/>
      <c r="DZ29" s="31"/>
      <c r="EA29" s="31"/>
      <c r="EB29" s="31"/>
      <c r="EC29" s="31"/>
      <c r="ED29" s="31"/>
      <c r="EE29" s="31"/>
      <c r="EF29" s="31"/>
      <c r="EG29" s="31"/>
      <c r="EH29" s="31"/>
      <c r="EI29" s="31"/>
      <c r="EJ29" s="31"/>
      <c r="EK29" s="31"/>
      <c r="EL29" s="31"/>
      <c r="EM29" s="31"/>
      <c r="EN29" s="31"/>
      <c r="EO29" s="31"/>
      <c r="EP29" s="31"/>
      <c r="EQ29" s="31"/>
      <c r="ER29" s="31"/>
      <c r="ES29" s="31"/>
      <c r="ET29" s="31"/>
      <c r="EU29" s="31"/>
      <c r="EV29" s="31"/>
      <c r="EW29" s="31"/>
      <c r="EX29" s="31"/>
      <c r="EY29" s="31"/>
      <c r="EZ29" s="31"/>
      <c r="FA29" s="31"/>
      <c r="FB29" s="31"/>
      <c r="FC29" s="31"/>
      <c r="FD29" s="31"/>
      <c r="FE29" s="31"/>
      <c r="FF29" s="31"/>
      <c r="FG29" s="31"/>
      <c r="FH29" s="31"/>
      <c r="FI29" s="31"/>
      <c r="FJ29" s="31"/>
      <c r="FK29" s="31"/>
      <c r="FL29" s="31"/>
      <c r="FM29" s="31"/>
      <c r="FN29" s="31"/>
      <c r="FO29" s="31"/>
      <c r="FP29" s="31"/>
      <c r="FQ29" s="31"/>
      <c r="FR29" s="31"/>
      <c r="FS29" s="31"/>
      <c r="FT29" s="31"/>
      <c r="FU29" s="31"/>
      <c r="FV29" s="31"/>
      <c r="FW29" s="31"/>
      <c r="FX29" s="31"/>
      <c r="FY29" s="31"/>
      <c r="FZ29" s="31"/>
      <c r="GA29" s="31"/>
      <c r="GB29" s="31"/>
      <c r="GC29" s="31"/>
      <c r="GD29" s="31"/>
      <c r="GE29" s="31"/>
      <c r="GF29" s="31"/>
      <c r="GG29" s="31"/>
      <c r="GH29" s="31"/>
      <c r="GI29" s="31"/>
      <c r="GJ29" s="31"/>
      <c r="GK29" s="31"/>
      <c r="GL29" s="31"/>
      <c r="GM29" s="31"/>
      <c r="GN29" s="31"/>
      <c r="GO29" s="31"/>
      <c r="GP29" s="31"/>
      <c r="GQ29" s="31"/>
      <c r="GR29" s="31"/>
      <c r="GS29" s="31"/>
      <c r="GT29" s="31"/>
      <c r="GU29" s="31"/>
      <c r="GV29" s="31"/>
      <c r="GW29" s="31"/>
      <c r="GX29" s="31"/>
      <c r="GY29" s="31"/>
      <c r="GZ29" s="31"/>
      <c r="HA29" s="31"/>
      <c r="HB29" s="31"/>
      <c r="HC29" s="31"/>
      <c r="HD29" s="31"/>
      <c r="HE29" s="31"/>
      <c r="HF29" s="31"/>
      <c r="HG29" s="31"/>
      <c r="HH29" s="31"/>
      <c r="HI29" s="31"/>
      <c r="HJ29" s="31"/>
      <c r="HK29" s="31"/>
      <c r="HL29" s="31"/>
      <c r="HM29" s="31"/>
      <c r="HN29" s="31"/>
      <c r="HO29" s="31"/>
      <c r="HP29" s="31"/>
      <c r="HQ29" s="31"/>
      <c r="HR29" s="31"/>
      <c r="HS29" s="31"/>
      <c r="HT29" s="31"/>
      <c r="HU29" s="31"/>
      <c r="HV29" s="31"/>
      <c r="HW29" s="31"/>
      <c r="HX29" s="31"/>
      <c r="HY29" s="31"/>
      <c r="HZ29" s="31"/>
      <c r="IA29" s="31"/>
    </row>
    <row r="30" spans="1:235" ht="14.25" customHeight="1" x14ac:dyDescent="0.35">
      <c r="A30" s="70" t="s">
        <v>175</v>
      </c>
      <c r="B30" s="46"/>
      <c r="C30" s="46"/>
      <c r="D30" s="46">
        <v>1000000</v>
      </c>
      <c r="E30" s="46">
        <v>2000000</v>
      </c>
      <c r="F30" s="71">
        <v>3500000</v>
      </c>
      <c r="G30" s="46"/>
      <c r="H30" s="46"/>
      <c r="I30" s="46">
        <v>3500000</v>
      </c>
      <c r="J30" s="46">
        <v>3500000</v>
      </c>
      <c r="K30" s="46">
        <v>3500000</v>
      </c>
      <c r="L30" s="46">
        <v>3500000</v>
      </c>
      <c r="M30" s="46">
        <v>3500000</v>
      </c>
      <c r="N30" s="46">
        <v>3500000</v>
      </c>
      <c r="O30" s="46">
        <v>3500000</v>
      </c>
      <c r="P30" s="47"/>
      <c r="Q30" s="47"/>
      <c r="R30" s="47"/>
      <c r="S30" s="27"/>
      <c r="T30" s="72" t="s">
        <v>83</v>
      </c>
      <c r="U30" s="73"/>
      <c r="V30" s="74">
        <v>45667</v>
      </c>
      <c r="W30" s="74"/>
      <c r="X30" s="75">
        <f>280878+406216</f>
        <v>687094</v>
      </c>
      <c r="Y30" s="75"/>
      <c r="Z30" s="75">
        <v>687094</v>
      </c>
      <c r="AA30" s="75" t="s">
        <v>28</v>
      </c>
      <c r="AB30" s="27">
        <f t="shared" si="2"/>
        <v>687094</v>
      </c>
      <c r="AC30" s="31" t="s">
        <v>53</v>
      </c>
      <c r="AD30" s="31"/>
      <c r="AE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  <c r="BO30" s="31"/>
      <c r="BP30" s="31"/>
      <c r="BQ30" s="31"/>
      <c r="BR30" s="31"/>
      <c r="BS30" s="31"/>
      <c r="BT30" s="31"/>
      <c r="BU30" s="31"/>
      <c r="BV30" s="31"/>
      <c r="BW30" s="31"/>
      <c r="BX30" s="31"/>
      <c r="BY30" s="31"/>
      <c r="BZ30" s="31"/>
      <c r="CA30" s="31"/>
      <c r="CB30" s="31"/>
      <c r="CC30" s="31"/>
      <c r="CD30" s="31"/>
      <c r="CE30" s="31"/>
      <c r="CF30" s="31"/>
      <c r="CG30" s="31"/>
      <c r="CH30" s="31"/>
      <c r="CI30" s="31"/>
      <c r="CJ30" s="31"/>
      <c r="CK30" s="31"/>
      <c r="CL30" s="31"/>
      <c r="CM30" s="31"/>
      <c r="CN30" s="31"/>
      <c r="CO30" s="31"/>
      <c r="CP30" s="31"/>
      <c r="CQ30" s="31"/>
      <c r="CR30" s="31"/>
      <c r="CS30" s="31"/>
      <c r="CT30" s="31"/>
      <c r="CU30" s="31"/>
      <c r="CV30" s="31"/>
      <c r="CW30" s="31"/>
      <c r="CX30" s="31"/>
      <c r="CY30" s="31"/>
      <c r="CZ30" s="31"/>
      <c r="DA30" s="31"/>
      <c r="DB30" s="31"/>
      <c r="DC30" s="31"/>
      <c r="DD30" s="31"/>
      <c r="DE30" s="31"/>
      <c r="DF30" s="31"/>
      <c r="DG30" s="31"/>
      <c r="DH30" s="31"/>
      <c r="DI30" s="31"/>
      <c r="DJ30" s="31"/>
      <c r="DK30" s="31"/>
      <c r="DL30" s="31"/>
      <c r="DM30" s="31"/>
      <c r="DN30" s="31"/>
      <c r="DO30" s="31"/>
      <c r="DP30" s="31"/>
      <c r="DQ30" s="31"/>
      <c r="DR30" s="31"/>
      <c r="DS30" s="31"/>
      <c r="DT30" s="31"/>
      <c r="DU30" s="31"/>
      <c r="DV30" s="31"/>
      <c r="DW30" s="31"/>
      <c r="DX30" s="31"/>
      <c r="DY30" s="31"/>
      <c r="DZ30" s="31"/>
      <c r="EA30" s="31"/>
      <c r="EB30" s="31"/>
      <c r="EC30" s="31"/>
      <c r="ED30" s="31"/>
      <c r="EE30" s="31"/>
      <c r="EF30" s="31"/>
      <c r="EG30" s="31"/>
      <c r="EH30" s="31"/>
      <c r="EI30" s="31"/>
      <c r="EJ30" s="31"/>
      <c r="EK30" s="31"/>
      <c r="EL30" s="31"/>
      <c r="EM30" s="31"/>
      <c r="EN30" s="31"/>
      <c r="EO30" s="31"/>
      <c r="EP30" s="31"/>
      <c r="EQ30" s="31"/>
      <c r="ER30" s="31"/>
      <c r="ES30" s="31"/>
      <c r="ET30" s="31"/>
      <c r="EU30" s="31"/>
      <c r="EV30" s="31"/>
      <c r="EW30" s="31"/>
      <c r="EX30" s="31"/>
      <c r="EY30" s="31"/>
      <c r="EZ30" s="31"/>
      <c r="FA30" s="31"/>
      <c r="FB30" s="31"/>
      <c r="FC30" s="31"/>
      <c r="FD30" s="31"/>
      <c r="FE30" s="31"/>
      <c r="FF30" s="31"/>
      <c r="FG30" s="31"/>
      <c r="FH30" s="31"/>
      <c r="FI30" s="31"/>
      <c r="FJ30" s="31"/>
      <c r="FK30" s="31"/>
      <c r="FL30" s="31"/>
      <c r="FM30" s="31"/>
      <c r="FN30" s="31"/>
      <c r="FO30" s="31"/>
      <c r="FP30" s="31"/>
      <c r="FQ30" s="31"/>
      <c r="FR30" s="31"/>
      <c r="FS30" s="31"/>
      <c r="FT30" s="31"/>
      <c r="FU30" s="31"/>
      <c r="FV30" s="31"/>
      <c r="FW30" s="31"/>
      <c r="FX30" s="31"/>
      <c r="FY30" s="31"/>
      <c r="FZ30" s="31"/>
      <c r="GA30" s="31"/>
      <c r="GB30" s="31"/>
      <c r="GC30" s="31"/>
      <c r="GD30" s="31"/>
      <c r="GE30" s="31"/>
      <c r="GF30" s="31"/>
      <c r="GG30" s="31"/>
      <c r="GH30" s="31"/>
      <c r="GI30" s="31"/>
      <c r="GJ30" s="31"/>
      <c r="GK30" s="31"/>
      <c r="GL30" s="31"/>
      <c r="GM30" s="31"/>
      <c r="GN30" s="31"/>
      <c r="GO30" s="31"/>
      <c r="GP30" s="31"/>
      <c r="GQ30" s="31"/>
      <c r="GR30" s="31"/>
      <c r="GS30" s="31"/>
      <c r="GT30" s="31"/>
      <c r="GU30" s="31"/>
      <c r="GV30" s="31"/>
      <c r="GW30" s="31"/>
      <c r="GX30" s="31"/>
      <c r="GY30" s="31"/>
      <c r="GZ30" s="31"/>
      <c r="HA30" s="31"/>
      <c r="HB30" s="31"/>
      <c r="HC30" s="31"/>
      <c r="HD30" s="31"/>
      <c r="HE30" s="31"/>
      <c r="HF30" s="31"/>
      <c r="HG30" s="31"/>
      <c r="HH30" s="31"/>
      <c r="HI30" s="31"/>
      <c r="HJ30" s="31"/>
      <c r="HK30" s="31"/>
      <c r="HL30" s="31"/>
      <c r="HM30" s="31"/>
      <c r="HN30" s="31"/>
      <c r="HO30" s="31"/>
      <c r="HP30" s="31"/>
      <c r="HQ30" s="31"/>
      <c r="HR30" s="31"/>
      <c r="HS30" s="31"/>
      <c r="HT30" s="31"/>
      <c r="HU30" s="31"/>
      <c r="HV30" s="31"/>
      <c r="HW30" s="31"/>
      <c r="HX30" s="31"/>
      <c r="HY30" s="31"/>
      <c r="HZ30" s="31"/>
      <c r="IA30" s="31"/>
    </row>
    <row r="31" spans="1:235" ht="14.25" customHeight="1" x14ac:dyDescent="0.35">
      <c r="A31" s="55" t="s">
        <v>151</v>
      </c>
      <c r="B31" s="46"/>
      <c r="C31" s="46"/>
      <c r="D31" s="71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7"/>
      <c r="Q31" s="47"/>
      <c r="R31" s="47"/>
      <c r="S31" s="27"/>
      <c r="T31" s="72" t="s">
        <v>85</v>
      </c>
      <c r="U31" s="73"/>
      <c r="V31" s="74">
        <v>45667</v>
      </c>
      <c r="W31" s="74"/>
      <c r="X31" s="75">
        <v>25000</v>
      </c>
      <c r="Y31" s="75"/>
      <c r="Z31" s="75">
        <v>25000</v>
      </c>
      <c r="AA31" s="75" t="s">
        <v>30</v>
      </c>
      <c r="AB31" s="27">
        <f t="shared" si="2"/>
        <v>25000</v>
      </c>
      <c r="AC31" s="31" t="s">
        <v>33</v>
      </c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/>
      <c r="BS31" s="31"/>
      <c r="BT31" s="31"/>
      <c r="BU31" s="31"/>
      <c r="BV31" s="31"/>
      <c r="BW31" s="31"/>
      <c r="BX31" s="31"/>
      <c r="BY31" s="31"/>
      <c r="BZ31" s="31"/>
      <c r="CA31" s="31"/>
      <c r="CB31" s="31"/>
      <c r="CC31" s="31"/>
      <c r="CD31" s="31"/>
      <c r="CE31" s="31"/>
      <c r="CF31" s="31"/>
      <c r="CG31" s="31"/>
      <c r="CH31" s="31"/>
      <c r="CI31" s="31"/>
      <c r="CJ31" s="31"/>
      <c r="CK31" s="31"/>
      <c r="CL31" s="31"/>
      <c r="CM31" s="31"/>
      <c r="CN31" s="31"/>
      <c r="CO31" s="31"/>
      <c r="CP31" s="31"/>
      <c r="CQ31" s="31"/>
      <c r="CR31" s="31"/>
      <c r="CS31" s="31"/>
      <c r="CT31" s="31"/>
      <c r="CU31" s="31"/>
      <c r="CV31" s="31"/>
      <c r="CW31" s="31"/>
      <c r="CX31" s="31"/>
      <c r="CY31" s="31"/>
      <c r="CZ31" s="31"/>
      <c r="DA31" s="31"/>
      <c r="DB31" s="31"/>
      <c r="DC31" s="31"/>
      <c r="DD31" s="31"/>
      <c r="DE31" s="31"/>
      <c r="DF31" s="31"/>
      <c r="DG31" s="31"/>
      <c r="DH31" s="31"/>
      <c r="DI31" s="31"/>
      <c r="DJ31" s="31"/>
      <c r="DK31" s="31"/>
      <c r="DL31" s="31"/>
      <c r="DM31" s="31"/>
      <c r="DN31" s="31"/>
      <c r="DO31" s="31"/>
      <c r="DP31" s="31"/>
      <c r="DQ31" s="31"/>
      <c r="DR31" s="31"/>
      <c r="DS31" s="31"/>
      <c r="DT31" s="31"/>
      <c r="DU31" s="31"/>
      <c r="DV31" s="31"/>
      <c r="DW31" s="31"/>
      <c r="DX31" s="31"/>
      <c r="DY31" s="31"/>
      <c r="DZ31" s="31"/>
      <c r="EA31" s="31"/>
      <c r="EB31" s="31"/>
      <c r="EC31" s="31"/>
      <c r="ED31" s="31"/>
      <c r="EE31" s="31"/>
      <c r="EF31" s="31"/>
      <c r="EG31" s="31"/>
      <c r="EH31" s="31"/>
      <c r="EI31" s="31"/>
      <c r="EJ31" s="31"/>
      <c r="EK31" s="31"/>
      <c r="EL31" s="31"/>
      <c r="EM31" s="31"/>
      <c r="EN31" s="31"/>
      <c r="EO31" s="31"/>
      <c r="EP31" s="31"/>
      <c r="EQ31" s="31"/>
      <c r="ER31" s="31"/>
      <c r="ES31" s="31"/>
      <c r="ET31" s="31"/>
      <c r="EU31" s="31"/>
      <c r="EV31" s="31"/>
      <c r="EW31" s="31"/>
      <c r="EX31" s="31"/>
      <c r="EY31" s="31"/>
      <c r="EZ31" s="31"/>
      <c r="FA31" s="31"/>
      <c r="FB31" s="31"/>
      <c r="FC31" s="31"/>
      <c r="FD31" s="31"/>
      <c r="FE31" s="31"/>
      <c r="FF31" s="31"/>
      <c r="FG31" s="31"/>
      <c r="FH31" s="31"/>
      <c r="FI31" s="31"/>
      <c r="FJ31" s="31"/>
      <c r="FK31" s="31"/>
      <c r="FL31" s="31"/>
      <c r="FM31" s="31"/>
      <c r="FN31" s="31"/>
      <c r="FO31" s="31"/>
      <c r="FP31" s="31"/>
      <c r="FQ31" s="31"/>
      <c r="FR31" s="31"/>
      <c r="FS31" s="31"/>
      <c r="FT31" s="31"/>
      <c r="FU31" s="31"/>
      <c r="FV31" s="31"/>
      <c r="FW31" s="31"/>
      <c r="FX31" s="31"/>
      <c r="FY31" s="31"/>
      <c r="FZ31" s="31"/>
      <c r="GA31" s="31"/>
      <c r="GB31" s="31"/>
      <c r="GC31" s="31"/>
      <c r="GD31" s="31"/>
      <c r="GE31" s="31"/>
      <c r="GF31" s="31"/>
      <c r="GG31" s="31"/>
      <c r="GH31" s="31"/>
      <c r="GI31" s="31"/>
      <c r="GJ31" s="31"/>
      <c r="GK31" s="31"/>
      <c r="GL31" s="31"/>
      <c r="GM31" s="31"/>
      <c r="GN31" s="31"/>
      <c r="GO31" s="31"/>
      <c r="GP31" s="31"/>
      <c r="GQ31" s="31"/>
      <c r="GR31" s="31"/>
      <c r="GS31" s="31"/>
      <c r="GT31" s="31"/>
      <c r="GU31" s="31"/>
      <c r="GV31" s="31"/>
      <c r="GW31" s="31"/>
      <c r="GX31" s="31"/>
      <c r="GY31" s="31"/>
      <c r="GZ31" s="31"/>
      <c r="HA31" s="31"/>
      <c r="HB31" s="31"/>
      <c r="HC31" s="31"/>
      <c r="HD31" s="31"/>
      <c r="HE31" s="31"/>
      <c r="HF31" s="31"/>
      <c r="HG31" s="31"/>
      <c r="HH31" s="31"/>
      <c r="HI31" s="31"/>
      <c r="HJ31" s="31"/>
      <c r="HK31" s="31"/>
      <c r="HL31" s="31"/>
      <c r="HM31" s="31"/>
      <c r="HN31" s="31"/>
      <c r="HO31" s="31"/>
      <c r="HP31" s="31"/>
      <c r="HQ31" s="31"/>
      <c r="HR31" s="31"/>
      <c r="HS31" s="31"/>
      <c r="HT31" s="31"/>
      <c r="HU31" s="31"/>
      <c r="HV31" s="31"/>
      <c r="HW31" s="31"/>
      <c r="HX31" s="31"/>
      <c r="HY31" s="31"/>
      <c r="HZ31" s="31"/>
      <c r="IA31" s="31"/>
    </row>
    <row r="32" spans="1:235" ht="14.25" customHeight="1" x14ac:dyDescent="0.35">
      <c r="A32" s="55" t="s">
        <v>84</v>
      </c>
      <c r="B32" s="46"/>
      <c r="C32" s="46"/>
      <c r="D32" s="46">
        <v>1000000</v>
      </c>
      <c r="E32" s="46">
        <v>2250000</v>
      </c>
      <c r="F32" s="46">
        <v>2000000</v>
      </c>
      <c r="G32" s="46">
        <v>2500000</v>
      </c>
      <c r="H32" s="46">
        <v>2500000</v>
      </c>
      <c r="I32" s="46">
        <v>2500000</v>
      </c>
      <c r="J32" s="46">
        <v>2500000</v>
      </c>
      <c r="K32" s="46">
        <v>2500000</v>
      </c>
      <c r="L32" s="46">
        <v>2500000</v>
      </c>
      <c r="M32" s="46">
        <v>2500000</v>
      </c>
      <c r="N32" s="46">
        <v>2500000</v>
      </c>
      <c r="O32" s="46">
        <v>2500000</v>
      </c>
      <c r="P32" s="47"/>
      <c r="Q32" s="47"/>
      <c r="R32" s="47"/>
      <c r="S32" s="27"/>
      <c r="T32" s="72" t="s">
        <v>87</v>
      </c>
      <c r="U32" s="73"/>
      <c r="V32" s="74">
        <v>45672</v>
      </c>
      <c r="W32" s="74"/>
      <c r="X32" s="75">
        <v>432119</v>
      </c>
      <c r="Y32" s="75"/>
      <c r="Z32" s="75">
        <v>432119</v>
      </c>
      <c r="AA32" s="75" t="s">
        <v>30</v>
      </c>
      <c r="AB32" s="27">
        <f t="shared" si="2"/>
        <v>432119</v>
      </c>
      <c r="AC32" s="31" t="s">
        <v>53</v>
      </c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/>
      <c r="BU32" s="31"/>
      <c r="BV32" s="31"/>
      <c r="BW32" s="31"/>
      <c r="BX32" s="31"/>
      <c r="BY32" s="31"/>
      <c r="BZ32" s="31"/>
      <c r="CA32" s="31"/>
      <c r="CB32" s="31"/>
      <c r="CC32" s="31"/>
      <c r="CD32" s="31"/>
      <c r="CE32" s="31"/>
      <c r="CF32" s="31"/>
      <c r="CG32" s="31"/>
      <c r="CH32" s="31"/>
      <c r="CI32" s="31"/>
      <c r="CJ32" s="31"/>
      <c r="CK32" s="31"/>
      <c r="CL32" s="31"/>
      <c r="CM32" s="31"/>
      <c r="CN32" s="31"/>
      <c r="CO32" s="31"/>
      <c r="CP32" s="31"/>
      <c r="CQ32" s="31"/>
      <c r="CR32" s="31"/>
      <c r="CS32" s="31"/>
      <c r="CT32" s="31"/>
      <c r="CU32" s="31"/>
      <c r="CV32" s="31"/>
      <c r="CW32" s="31"/>
      <c r="CX32" s="31"/>
      <c r="CY32" s="31"/>
      <c r="CZ32" s="31"/>
      <c r="DA32" s="31"/>
      <c r="DB32" s="31"/>
      <c r="DC32" s="31"/>
      <c r="DD32" s="31"/>
      <c r="DE32" s="31"/>
      <c r="DF32" s="31"/>
      <c r="DG32" s="31"/>
      <c r="DH32" s="31"/>
      <c r="DI32" s="31"/>
      <c r="DJ32" s="31"/>
      <c r="DK32" s="31"/>
      <c r="DL32" s="31"/>
      <c r="DM32" s="31"/>
      <c r="DN32" s="31"/>
      <c r="DO32" s="31"/>
      <c r="DP32" s="31"/>
      <c r="DQ32" s="31"/>
      <c r="DR32" s="31"/>
      <c r="DS32" s="31"/>
      <c r="DT32" s="31"/>
      <c r="DU32" s="31"/>
      <c r="DV32" s="31"/>
      <c r="DW32" s="31"/>
      <c r="DX32" s="31"/>
      <c r="DY32" s="31"/>
      <c r="DZ32" s="31"/>
      <c r="EA32" s="31"/>
      <c r="EB32" s="31"/>
      <c r="EC32" s="31"/>
      <c r="ED32" s="31"/>
      <c r="EE32" s="31"/>
      <c r="EF32" s="31"/>
      <c r="EG32" s="31"/>
      <c r="EH32" s="31"/>
      <c r="EI32" s="31"/>
      <c r="EJ32" s="31"/>
      <c r="EK32" s="31"/>
      <c r="EL32" s="31"/>
      <c r="EM32" s="31"/>
      <c r="EN32" s="31"/>
      <c r="EO32" s="31"/>
      <c r="EP32" s="31"/>
      <c r="EQ32" s="31"/>
      <c r="ER32" s="31"/>
      <c r="ES32" s="31"/>
      <c r="ET32" s="31"/>
      <c r="EU32" s="31"/>
      <c r="EV32" s="31"/>
      <c r="EW32" s="31"/>
      <c r="EX32" s="31"/>
      <c r="EY32" s="31"/>
      <c r="EZ32" s="31"/>
      <c r="FA32" s="31"/>
      <c r="FB32" s="31"/>
      <c r="FC32" s="31"/>
      <c r="FD32" s="31"/>
      <c r="FE32" s="31"/>
      <c r="FF32" s="31"/>
      <c r="FG32" s="31"/>
      <c r="FH32" s="31"/>
      <c r="FI32" s="31"/>
      <c r="FJ32" s="31"/>
      <c r="FK32" s="31"/>
      <c r="FL32" s="31"/>
      <c r="FM32" s="31"/>
      <c r="FN32" s="31"/>
      <c r="FO32" s="31"/>
      <c r="FP32" s="31"/>
      <c r="FQ32" s="31"/>
      <c r="FR32" s="31"/>
      <c r="FS32" s="31"/>
      <c r="FT32" s="31"/>
      <c r="FU32" s="31"/>
      <c r="FV32" s="31"/>
      <c r="FW32" s="31"/>
      <c r="FX32" s="31"/>
      <c r="FY32" s="31"/>
      <c r="FZ32" s="31"/>
      <c r="GA32" s="31"/>
      <c r="GB32" s="31"/>
      <c r="GC32" s="31"/>
      <c r="GD32" s="31"/>
      <c r="GE32" s="31"/>
      <c r="GF32" s="31"/>
      <c r="GG32" s="31"/>
      <c r="GH32" s="31"/>
      <c r="GI32" s="31"/>
      <c r="GJ32" s="31"/>
      <c r="GK32" s="31"/>
      <c r="GL32" s="31"/>
      <c r="GM32" s="31"/>
      <c r="GN32" s="31"/>
      <c r="GO32" s="31"/>
      <c r="GP32" s="31"/>
      <c r="GQ32" s="31"/>
      <c r="GR32" s="31"/>
      <c r="GS32" s="31"/>
      <c r="GT32" s="31"/>
      <c r="GU32" s="31"/>
      <c r="GV32" s="31"/>
      <c r="GW32" s="31"/>
      <c r="GX32" s="31"/>
      <c r="GY32" s="31"/>
      <c r="GZ32" s="31"/>
      <c r="HA32" s="31"/>
      <c r="HB32" s="31"/>
      <c r="HC32" s="31"/>
      <c r="HD32" s="31"/>
      <c r="HE32" s="31"/>
      <c r="HF32" s="31"/>
      <c r="HG32" s="31"/>
      <c r="HH32" s="31"/>
      <c r="HI32" s="31"/>
      <c r="HJ32" s="31"/>
      <c r="HK32" s="31"/>
      <c r="HL32" s="31"/>
      <c r="HM32" s="31"/>
      <c r="HN32" s="31"/>
      <c r="HO32" s="31"/>
      <c r="HP32" s="31"/>
      <c r="HQ32" s="31"/>
      <c r="HR32" s="31"/>
      <c r="HS32" s="31"/>
      <c r="HT32" s="31"/>
      <c r="HU32" s="31"/>
      <c r="HV32" s="31"/>
      <c r="HW32" s="31"/>
      <c r="HX32" s="31"/>
      <c r="HY32" s="31"/>
      <c r="HZ32" s="31"/>
      <c r="IA32" s="31"/>
    </row>
    <row r="33" spans="1:235" ht="14.25" customHeight="1" x14ac:dyDescent="0.35">
      <c r="A33" s="55" t="s">
        <v>86</v>
      </c>
      <c r="B33" s="46"/>
      <c r="C33" s="46"/>
      <c r="D33" s="46">
        <v>1000000</v>
      </c>
      <c r="E33" s="46"/>
      <c r="F33" s="46">
        <v>5000000</v>
      </c>
      <c r="G33" s="46"/>
      <c r="H33" s="46"/>
      <c r="I33" s="46"/>
      <c r="J33" s="46"/>
      <c r="K33" s="46"/>
      <c r="L33" s="46"/>
      <c r="M33" s="46"/>
      <c r="N33" s="46"/>
      <c r="O33" s="46"/>
      <c r="P33" s="47"/>
      <c r="Q33" s="47"/>
      <c r="R33" s="47"/>
      <c r="S33" s="27"/>
      <c r="T33" s="30" t="s">
        <v>85</v>
      </c>
      <c r="U33" s="54"/>
      <c r="V33" s="69">
        <v>45672</v>
      </c>
      <c r="W33" s="69"/>
      <c r="X33" s="31">
        <v>60000</v>
      </c>
      <c r="Y33" s="31"/>
      <c r="Z33" s="31">
        <v>60000</v>
      </c>
      <c r="AA33" s="31" t="s">
        <v>30</v>
      </c>
      <c r="AB33" s="27">
        <f t="shared" si="2"/>
        <v>60000</v>
      </c>
      <c r="AC33" s="31" t="s">
        <v>33</v>
      </c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  <c r="BR33" s="31"/>
      <c r="BS33" s="31"/>
      <c r="BT33" s="31"/>
      <c r="BU33" s="31"/>
      <c r="BV33" s="31"/>
      <c r="BW33" s="31"/>
      <c r="BX33" s="31"/>
      <c r="BY33" s="31"/>
      <c r="BZ33" s="31"/>
      <c r="CA33" s="31"/>
      <c r="CB33" s="31"/>
      <c r="CC33" s="31"/>
      <c r="CD33" s="31"/>
      <c r="CE33" s="31"/>
      <c r="CF33" s="31"/>
      <c r="CG33" s="31"/>
      <c r="CH33" s="31"/>
      <c r="CI33" s="31"/>
      <c r="CJ33" s="31"/>
      <c r="CK33" s="31"/>
      <c r="CL33" s="31"/>
      <c r="CM33" s="31"/>
      <c r="CN33" s="31"/>
      <c r="CO33" s="31"/>
      <c r="CP33" s="31"/>
      <c r="CQ33" s="31"/>
      <c r="CR33" s="31"/>
      <c r="CS33" s="31"/>
      <c r="CT33" s="31"/>
      <c r="CU33" s="31"/>
      <c r="CV33" s="31"/>
      <c r="CW33" s="31"/>
      <c r="CX33" s="31"/>
      <c r="CY33" s="31"/>
      <c r="CZ33" s="31"/>
      <c r="DA33" s="31"/>
      <c r="DB33" s="31"/>
      <c r="DC33" s="31"/>
      <c r="DD33" s="31"/>
      <c r="DE33" s="31"/>
      <c r="DF33" s="31"/>
      <c r="DG33" s="31"/>
      <c r="DH33" s="31"/>
      <c r="DI33" s="31"/>
      <c r="DJ33" s="31"/>
      <c r="DK33" s="31"/>
      <c r="DL33" s="31"/>
      <c r="DM33" s="31"/>
      <c r="DN33" s="31"/>
      <c r="DO33" s="31"/>
      <c r="DP33" s="31"/>
      <c r="DQ33" s="31"/>
      <c r="DR33" s="31"/>
      <c r="DS33" s="31"/>
      <c r="DT33" s="31"/>
      <c r="DU33" s="31"/>
      <c r="DV33" s="31"/>
      <c r="DW33" s="31"/>
      <c r="DX33" s="31"/>
      <c r="DY33" s="31"/>
      <c r="DZ33" s="31"/>
      <c r="EA33" s="31"/>
      <c r="EB33" s="31"/>
      <c r="EC33" s="31"/>
      <c r="ED33" s="31"/>
      <c r="EE33" s="31"/>
      <c r="EF33" s="31"/>
      <c r="EG33" s="31"/>
      <c r="EH33" s="31"/>
      <c r="EI33" s="31"/>
      <c r="EJ33" s="31"/>
      <c r="EK33" s="31"/>
      <c r="EL33" s="31"/>
      <c r="EM33" s="31"/>
      <c r="EN33" s="31"/>
      <c r="EO33" s="31"/>
      <c r="EP33" s="31"/>
      <c r="EQ33" s="31"/>
      <c r="ER33" s="31"/>
      <c r="ES33" s="31"/>
      <c r="ET33" s="31"/>
      <c r="EU33" s="31"/>
      <c r="EV33" s="31"/>
      <c r="EW33" s="31"/>
      <c r="EX33" s="31"/>
      <c r="EY33" s="31"/>
      <c r="EZ33" s="31"/>
      <c r="FA33" s="31"/>
      <c r="FB33" s="31"/>
      <c r="FC33" s="31"/>
      <c r="FD33" s="31"/>
      <c r="FE33" s="31"/>
      <c r="FF33" s="31"/>
      <c r="FG33" s="31"/>
      <c r="FH33" s="31"/>
      <c r="FI33" s="31"/>
      <c r="FJ33" s="31"/>
      <c r="FK33" s="31"/>
      <c r="FL33" s="31"/>
      <c r="FM33" s="31"/>
      <c r="FN33" s="31"/>
      <c r="FO33" s="31"/>
      <c r="FP33" s="31"/>
      <c r="FQ33" s="31"/>
      <c r="FR33" s="31"/>
      <c r="FS33" s="31"/>
      <c r="FT33" s="31"/>
      <c r="FU33" s="31"/>
      <c r="FV33" s="31"/>
      <c r="FW33" s="31"/>
      <c r="FX33" s="31"/>
      <c r="FY33" s="31"/>
      <c r="FZ33" s="31"/>
      <c r="GA33" s="31"/>
      <c r="GB33" s="31"/>
      <c r="GC33" s="31"/>
      <c r="GD33" s="31"/>
      <c r="GE33" s="31"/>
      <c r="GF33" s="31"/>
      <c r="GG33" s="31"/>
      <c r="GH33" s="31"/>
      <c r="GI33" s="31"/>
      <c r="GJ33" s="31"/>
      <c r="GK33" s="31"/>
      <c r="GL33" s="31"/>
      <c r="GM33" s="31"/>
      <c r="GN33" s="31"/>
      <c r="GO33" s="31"/>
      <c r="GP33" s="31"/>
      <c r="GQ33" s="31"/>
      <c r="GR33" s="31"/>
      <c r="GS33" s="31"/>
      <c r="GT33" s="31"/>
      <c r="GU33" s="31"/>
      <c r="GV33" s="31"/>
      <c r="GW33" s="31"/>
      <c r="GX33" s="31"/>
      <c r="GY33" s="31"/>
      <c r="GZ33" s="31"/>
      <c r="HA33" s="31"/>
      <c r="HB33" s="31"/>
      <c r="HC33" s="31"/>
      <c r="HD33" s="31"/>
      <c r="HE33" s="31"/>
      <c r="HF33" s="31"/>
      <c r="HG33" s="31"/>
      <c r="HH33" s="31"/>
      <c r="HI33" s="31"/>
      <c r="HJ33" s="31"/>
      <c r="HK33" s="31"/>
      <c r="HL33" s="31"/>
      <c r="HM33" s="31"/>
      <c r="HN33" s="31"/>
      <c r="HO33" s="31"/>
      <c r="HP33" s="31"/>
      <c r="HQ33" s="31"/>
      <c r="HR33" s="31"/>
      <c r="HS33" s="31"/>
      <c r="HT33" s="31"/>
      <c r="HU33" s="31"/>
      <c r="HV33" s="31"/>
      <c r="HW33" s="31"/>
      <c r="HX33" s="31"/>
      <c r="HY33" s="31"/>
      <c r="HZ33" s="31"/>
      <c r="IA33" s="31"/>
    </row>
    <row r="34" spans="1:235" ht="14.25" customHeight="1" x14ac:dyDescent="0.35">
      <c r="A34" s="55" t="s">
        <v>88</v>
      </c>
      <c r="B34" s="46"/>
      <c r="C34" s="46"/>
      <c r="D34" s="46">
        <v>2000000</v>
      </c>
      <c r="E34" s="46">
        <v>3946000</v>
      </c>
      <c r="F34" s="46">
        <v>2000000</v>
      </c>
      <c r="G34" s="46">
        <v>2000000</v>
      </c>
      <c r="H34" s="46">
        <v>3000000</v>
      </c>
      <c r="I34" s="46">
        <v>3000000</v>
      </c>
      <c r="J34" s="46">
        <v>3000000</v>
      </c>
      <c r="K34" s="46">
        <v>3000000</v>
      </c>
      <c r="L34" s="46">
        <v>3000000</v>
      </c>
      <c r="M34" s="46">
        <v>3000000</v>
      </c>
      <c r="N34" s="46">
        <v>3000000</v>
      </c>
      <c r="O34" s="46">
        <v>3000000</v>
      </c>
      <c r="P34" s="47"/>
      <c r="Q34" s="47"/>
      <c r="R34" s="47"/>
      <c r="S34" s="27"/>
      <c r="T34" s="30" t="s">
        <v>90</v>
      </c>
      <c r="U34" s="54"/>
      <c r="V34" s="69">
        <v>45672</v>
      </c>
      <c r="W34" s="69"/>
      <c r="X34" s="31">
        <v>60000</v>
      </c>
      <c r="Y34" s="31"/>
      <c r="Z34" s="31">
        <v>60000</v>
      </c>
      <c r="AA34" s="31" t="s">
        <v>30</v>
      </c>
      <c r="AB34" s="27">
        <f t="shared" si="2"/>
        <v>60000</v>
      </c>
      <c r="AC34" s="31" t="s">
        <v>33</v>
      </c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1"/>
      <c r="CW34" s="31"/>
      <c r="CX34" s="31"/>
      <c r="CY34" s="31"/>
      <c r="CZ34" s="31"/>
      <c r="DA34" s="31"/>
      <c r="DB34" s="31"/>
      <c r="DC34" s="31"/>
      <c r="DD34" s="31"/>
      <c r="DE34" s="31"/>
      <c r="DF34" s="31"/>
      <c r="DG34" s="31"/>
      <c r="DH34" s="31"/>
      <c r="DI34" s="31"/>
      <c r="DJ34" s="31"/>
      <c r="DK34" s="31"/>
      <c r="DL34" s="31"/>
      <c r="DM34" s="31"/>
      <c r="DN34" s="31"/>
      <c r="DO34" s="31"/>
      <c r="DP34" s="31"/>
      <c r="DQ34" s="31"/>
      <c r="DR34" s="31"/>
      <c r="DS34" s="31"/>
      <c r="DT34" s="31"/>
      <c r="DU34" s="31"/>
      <c r="DV34" s="31"/>
      <c r="DW34" s="31"/>
      <c r="DX34" s="31"/>
      <c r="DY34" s="31"/>
      <c r="DZ34" s="31"/>
      <c r="EA34" s="31"/>
      <c r="EB34" s="31"/>
      <c r="EC34" s="31"/>
      <c r="ED34" s="31"/>
      <c r="EE34" s="31"/>
      <c r="EF34" s="31"/>
      <c r="EG34" s="31"/>
      <c r="EH34" s="31"/>
      <c r="EI34" s="31"/>
      <c r="EJ34" s="31"/>
      <c r="EK34" s="31"/>
      <c r="EL34" s="31"/>
      <c r="EM34" s="31"/>
      <c r="EN34" s="31"/>
      <c r="EO34" s="31"/>
      <c r="EP34" s="31"/>
      <c r="EQ34" s="31"/>
      <c r="ER34" s="31"/>
      <c r="ES34" s="31"/>
      <c r="ET34" s="31"/>
      <c r="EU34" s="31"/>
      <c r="EV34" s="31"/>
      <c r="EW34" s="31"/>
      <c r="EX34" s="31"/>
      <c r="EY34" s="31"/>
      <c r="EZ34" s="31"/>
      <c r="FA34" s="31"/>
      <c r="FB34" s="31"/>
      <c r="FC34" s="31"/>
      <c r="FD34" s="31"/>
      <c r="FE34" s="31"/>
      <c r="FF34" s="31"/>
      <c r="FG34" s="31"/>
      <c r="FH34" s="31"/>
      <c r="FI34" s="31"/>
      <c r="FJ34" s="31"/>
      <c r="FK34" s="31"/>
      <c r="FL34" s="31"/>
      <c r="FM34" s="31"/>
      <c r="FN34" s="31"/>
      <c r="FO34" s="31"/>
      <c r="FP34" s="31"/>
      <c r="FQ34" s="31"/>
      <c r="FR34" s="31"/>
      <c r="FS34" s="31"/>
      <c r="FT34" s="31"/>
      <c r="FU34" s="31"/>
      <c r="FV34" s="31"/>
      <c r="FW34" s="31"/>
      <c r="FX34" s="31"/>
      <c r="FY34" s="31"/>
      <c r="FZ34" s="31"/>
      <c r="GA34" s="31"/>
      <c r="GB34" s="31"/>
      <c r="GC34" s="31"/>
      <c r="GD34" s="31"/>
      <c r="GE34" s="31"/>
      <c r="GF34" s="31"/>
      <c r="GG34" s="31"/>
      <c r="GH34" s="31"/>
      <c r="GI34" s="31"/>
      <c r="GJ34" s="31"/>
      <c r="GK34" s="31"/>
      <c r="GL34" s="31"/>
      <c r="GM34" s="31"/>
      <c r="GN34" s="31"/>
      <c r="GO34" s="31"/>
      <c r="GP34" s="31"/>
      <c r="GQ34" s="31"/>
      <c r="GR34" s="31"/>
      <c r="GS34" s="31"/>
      <c r="GT34" s="31"/>
      <c r="GU34" s="31"/>
      <c r="GV34" s="31"/>
      <c r="GW34" s="31"/>
      <c r="GX34" s="31"/>
      <c r="GY34" s="31"/>
      <c r="GZ34" s="31"/>
      <c r="HA34" s="31"/>
      <c r="HB34" s="31"/>
      <c r="HC34" s="31"/>
      <c r="HD34" s="31"/>
      <c r="HE34" s="31"/>
      <c r="HF34" s="31"/>
      <c r="HG34" s="31"/>
      <c r="HH34" s="31"/>
      <c r="HI34" s="31"/>
      <c r="HJ34" s="31"/>
      <c r="HK34" s="31"/>
      <c r="HL34" s="31"/>
      <c r="HM34" s="31"/>
      <c r="HN34" s="31"/>
      <c r="HO34" s="31"/>
      <c r="HP34" s="31"/>
      <c r="HQ34" s="31"/>
      <c r="HR34" s="31"/>
      <c r="HS34" s="31"/>
      <c r="HT34" s="31"/>
      <c r="HU34" s="31"/>
      <c r="HV34" s="31"/>
      <c r="HW34" s="31"/>
      <c r="HX34" s="31"/>
      <c r="HY34" s="31"/>
      <c r="HZ34" s="31"/>
      <c r="IA34" s="31"/>
    </row>
    <row r="35" spans="1:235" ht="14.25" customHeight="1" x14ac:dyDescent="0.35">
      <c r="A35" s="55" t="s">
        <v>89</v>
      </c>
      <c r="B35" s="46"/>
      <c r="C35" s="46"/>
      <c r="D35" s="46"/>
      <c r="E35" s="46">
        <v>2000000</v>
      </c>
      <c r="F35" s="71">
        <v>2000000</v>
      </c>
      <c r="G35" s="46">
        <v>2000000</v>
      </c>
      <c r="H35" s="46">
        <v>2000000</v>
      </c>
      <c r="I35" s="46">
        <v>2000000</v>
      </c>
      <c r="J35" s="46">
        <v>2000000</v>
      </c>
      <c r="K35" s="46">
        <v>2000000</v>
      </c>
      <c r="L35" s="46">
        <v>2000000</v>
      </c>
      <c r="M35" s="46">
        <v>2000000</v>
      </c>
      <c r="N35" s="46">
        <v>2000000</v>
      </c>
      <c r="O35" s="46">
        <v>2000000</v>
      </c>
      <c r="P35" s="47"/>
      <c r="Q35" s="47"/>
      <c r="R35" s="47"/>
      <c r="S35" s="27"/>
      <c r="T35" s="30"/>
      <c r="U35" s="54"/>
      <c r="V35" s="69"/>
      <c r="W35" s="69"/>
      <c r="X35" s="31"/>
      <c r="Y35" s="31"/>
      <c r="Z35" s="31"/>
      <c r="AA35" s="31"/>
      <c r="AB35" s="27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1"/>
      <c r="BX35" s="31"/>
      <c r="BY35" s="31"/>
      <c r="BZ35" s="31"/>
      <c r="CA35" s="31"/>
      <c r="CB35" s="31"/>
      <c r="CC35" s="31"/>
      <c r="CD35" s="31"/>
      <c r="CE35" s="31"/>
      <c r="CF35" s="31"/>
      <c r="CG35" s="31"/>
      <c r="CH35" s="31"/>
      <c r="CI35" s="31"/>
      <c r="CJ35" s="31"/>
      <c r="CK35" s="31"/>
      <c r="CL35" s="31"/>
      <c r="CM35" s="31"/>
      <c r="CN35" s="31"/>
      <c r="CO35" s="31"/>
      <c r="CP35" s="31"/>
      <c r="CQ35" s="31"/>
      <c r="CR35" s="31"/>
      <c r="CS35" s="31"/>
      <c r="CT35" s="31"/>
      <c r="CU35" s="31"/>
      <c r="CV35" s="31"/>
      <c r="CW35" s="31"/>
      <c r="CX35" s="31"/>
      <c r="CY35" s="31"/>
      <c r="CZ35" s="31"/>
      <c r="DA35" s="31"/>
      <c r="DB35" s="31"/>
      <c r="DC35" s="31"/>
      <c r="DD35" s="31"/>
      <c r="DE35" s="31"/>
      <c r="DF35" s="31"/>
      <c r="DG35" s="31"/>
      <c r="DH35" s="31"/>
      <c r="DI35" s="31"/>
      <c r="DJ35" s="31"/>
      <c r="DK35" s="31"/>
      <c r="DL35" s="31"/>
      <c r="DM35" s="31"/>
      <c r="DN35" s="31"/>
      <c r="DO35" s="31"/>
      <c r="DP35" s="31"/>
      <c r="DQ35" s="31"/>
      <c r="DR35" s="31"/>
      <c r="DS35" s="31"/>
      <c r="DT35" s="31"/>
      <c r="DU35" s="31"/>
      <c r="DV35" s="31"/>
      <c r="DW35" s="31"/>
      <c r="DX35" s="31"/>
      <c r="DY35" s="31"/>
      <c r="DZ35" s="31"/>
      <c r="EA35" s="31"/>
      <c r="EB35" s="31"/>
      <c r="EC35" s="31"/>
      <c r="ED35" s="31"/>
      <c r="EE35" s="31"/>
      <c r="EF35" s="31"/>
      <c r="EG35" s="31"/>
      <c r="EH35" s="31"/>
      <c r="EI35" s="31"/>
      <c r="EJ35" s="31"/>
      <c r="EK35" s="31"/>
      <c r="EL35" s="31"/>
      <c r="EM35" s="31"/>
      <c r="EN35" s="31"/>
      <c r="EO35" s="31"/>
      <c r="EP35" s="31"/>
      <c r="EQ35" s="31"/>
      <c r="ER35" s="31"/>
      <c r="ES35" s="31"/>
      <c r="ET35" s="31"/>
      <c r="EU35" s="31"/>
      <c r="EV35" s="31"/>
      <c r="EW35" s="31"/>
      <c r="EX35" s="31"/>
      <c r="EY35" s="31"/>
      <c r="EZ35" s="31"/>
      <c r="FA35" s="31"/>
      <c r="FB35" s="31"/>
      <c r="FC35" s="31"/>
      <c r="FD35" s="31"/>
      <c r="FE35" s="31"/>
      <c r="FF35" s="31"/>
      <c r="FG35" s="31"/>
      <c r="FH35" s="31"/>
      <c r="FI35" s="31"/>
      <c r="FJ35" s="31"/>
      <c r="FK35" s="31"/>
      <c r="FL35" s="31"/>
      <c r="FM35" s="31"/>
      <c r="FN35" s="31"/>
      <c r="FO35" s="31"/>
      <c r="FP35" s="31"/>
      <c r="FQ35" s="31"/>
      <c r="FR35" s="31"/>
      <c r="FS35" s="31"/>
      <c r="FT35" s="31"/>
      <c r="FU35" s="31"/>
      <c r="FV35" s="31"/>
      <c r="FW35" s="31"/>
      <c r="FX35" s="31"/>
      <c r="FY35" s="31"/>
      <c r="FZ35" s="31"/>
      <c r="GA35" s="31"/>
      <c r="GB35" s="31"/>
      <c r="GC35" s="31"/>
      <c r="GD35" s="31"/>
      <c r="GE35" s="31"/>
      <c r="GF35" s="31"/>
      <c r="GG35" s="31"/>
      <c r="GH35" s="31"/>
      <c r="GI35" s="31"/>
      <c r="GJ35" s="31"/>
      <c r="GK35" s="31"/>
      <c r="GL35" s="31"/>
      <c r="GM35" s="31"/>
      <c r="GN35" s="31"/>
      <c r="GO35" s="31"/>
      <c r="GP35" s="31"/>
      <c r="GQ35" s="31"/>
      <c r="GR35" s="31"/>
      <c r="GS35" s="31"/>
      <c r="GT35" s="31"/>
      <c r="GU35" s="31"/>
      <c r="GV35" s="31"/>
      <c r="GW35" s="31"/>
      <c r="GX35" s="31"/>
      <c r="GY35" s="31"/>
      <c r="GZ35" s="31"/>
      <c r="HA35" s="31"/>
      <c r="HB35" s="31"/>
      <c r="HC35" s="31"/>
      <c r="HD35" s="31"/>
      <c r="HE35" s="31"/>
      <c r="HF35" s="31"/>
      <c r="HG35" s="31"/>
      <c r="HH35" s="31"/>
      <c r="HI35" s="31"/>
      <c r="HJ35" s="31"/>
      <c r="HK35" s="31"/>
      <c r="HL35" s="31"/>
      <c r="HM35" s="31"/>
      <c r="HN35" s="31"/>
      <c r="HO35" s="31"/>
      <c r="HP35" s="31"/>
      <c r="HQ35" s="31"/>
      <c r="HR35" s="31"/>
      <c r="HS35" s="31"/>
      <c r="HT35" s="31"/>
      <c r="HU35" s="31"/>
      <c r="HV35" s="31"/>
      <c r="HW35" s="31"/>
      <c r="HX35" s="31"/>
      <c r="HY35" s="31"/>
      <c r="HZ35" s="31"/>
      <c r="IA35" s="31"/>
    </row>
    <row r="36" spans="1:235" ht="14.25" customHeight="1" x14ac:dyDescent="0.35">
      <c r="A36" s="55" t="s">
        <v>91</v>
      </c>
      <c r="B36" s="46"/>
      <c r="C36" s="46"/>
      <c r="D36" s="46"/>
      <c r="E36" s="46"/>
      <c r="F36" s="46">
        <v>1000000</v>
      </c>
      <c r="G36" s="46">
        <v>2200000</v>
      </c>
      <c r="H36" s="46">
        <v>2200000</v>
      </c>
      <c r="I36" s="46">
        <v>2200000</v>
      </c>
      <c r="J36" s="46">
        <v>2200000</v>
      </c>
      <c r="K36" s="46">
        <v>2200000</v>
      </c>
      <c r="L36" s="46">
        <v>2200000</v>
      </c>
      <c r="M36" s="46">
        <v>2200000</v>
      </c>
      <c r="N36" s="46">
        <v>2200000</v>
      </c>
      <c r="O36" s="46">
        <v>2200000</v>
      </c>
      <c r="P36" s="47"/>
      <c r="Q36" s="47"/>
      <c r="R36" s="47"/>
      <c r="S36" s="27"/>
      <c r="T36" s="30" t="s">
        <v>93</v>
      </c>
      <c r="U36" s="54"/>
      <c r="V36" s="69">
        <v>45687</v>
      </c>
      <c r="W36" s="69"/>
      <c r="X36" s="31">
        <v>1300000</v>
      </c>
      <c r="Y36" s="31"/>
      <c r="Z36" s="31">
        <v>1300000</v>
      </c>
      <c r="AA36" s="31" t="s">
        <v>30</v>
      </c>
      <c r="AB36" s="27">
        <f>+Z36</f>
        <v>1300000</v>
      </c>
      <c r="AC36" s="31" t="s">
        <v>33</v>
      </c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/>
      <c r="BY36" s="31"/>
      <c r="BZ36" s="31"/>
      <c r="CA36" s="31"/>
      <c r="CB36" s="31"/>
      <c r="CC36" s="31"/>
      <c r="CD36" s="31"/>
      <c r="CE36" s="31"/>
      <c r="CF36" s="31"/>
      <c r="CG36" s="31"/>
      <c r="CH36" s="31"/>
      <c r="CI36" s="31"/>
      <c r="CJ36" s="31"/>
      <c r="CK36" s="31"/>
      <c r="CL36" s="31"/>
      <c r="CM36" s="31"/>
      <c r="CN36" s="31"/>
      <c r="CO36" s="31"/>
      <c r="CP36" s="31"/>
      <c r="CQ36" s="31"/>
      <c r="CR36" s="31"/>
      <c r="CS36" s="31"/>
      <c r="CT36" s="31"/>
      <c r="CU36" s="31"/>
      <c r="CV36" s="31"/>
      <c r="CW36" s="31"/>
      <c r="CX36" s="31"/>
      <c r="CY36" s="31"/>
      <c r="CZ36" s="31"/>
      <c r="DA36" s="31"/>
      <c r="DB36" s="31"/>
      <c r="DC36" s="31"/>
      <c r="DD36" s="31"/>
      <c r="DE36" s="31"/>
      <c r="DF36" s="31"/>
      <c r="DG36" s="31"/>
      <c r="DH36" s="31"/>
      <c r="DI36" s="31"/>
      <c r="DJ36" s="31"/>
      <c r="DK36" s="31"/>
      <c r="DL36" s="31"/>
      <c r="DM36" s="31"/>
      <c r="DN36" s="31"/>
      <c r="DO36" s="31"/>
      <c r="DP36" s="31"/>
      <c r="DQ36" s="31"/>
      <c r="DR36" s="31"/>
      <c r="DS36" s="31"/>
      <c r="DT36" s="31"/>
      <c r="DU36" s="31"/>
      <c r="DV36" s="31"/>
      <c r="DW36" s="31"/>
      <c r="DX36" s="31"/>
      <c r="DY36" s="31"/>
      <c r="DZ36" s="31"/>
      <c r="EA36" s="31"/>
      <c r="EB36" s="31"/>
      <c r="EC36" s="31"/>
      <c r="ED36" s="31"/>
      <c r="EE36" s="31"/>
      <c r="EF36" s="31"/>
      <c r="EG36" s="31"/>
      <c r="EH36" s="31"/>
      <c r="EI36" s="31"/>
      <c r="EJ36" s="31"/>
      <c r="EK36" s="31"/>
      <c r="EL36" s="31"/>
      <c r="EM36" s="31"/>
      <c r="EN36" s="31"/>
      <c r="EO36" s="31"/>
      <c r="EP36" s="31"/>
      <c r="EQ36" s="31"/>
      <c r="ER36" s="31"/>
      <c r="ES36" s="31"/>
      <c r="ET36" s="31"/>
      <c r="EU36" s="31"/>
      <c r="EV36" s="31"/>
      <c r="EW36" s="31"/>
      <c r="EX36" s="31"/>
      <c r="EY36" s="31"/>
      <c r="EZ36" s="31"/>
      <c r="FA36" s="31"/>
      <c r="FB36" s="31"/>
      <c r="FC36" s="31"/>
      <c r="FD36" s="31"/>
      <c r="FE36" s="31"/>
      <c r="FF36" s="31"/>
      <c r="FG36" s="31"/>
      <c r="FH36" s="31"/>
      <c r="FI36" s="31"/>
      <c r="FJ36" s="31"/>
      <c r="FK36" s="31"/>
      <c r="FL36" s="31"/>
      <c r="FM36" s="31"/>
      <c r="FN36" s="31"/>
      <c r="FO36" s="31"/>
      <c r="FP36" s="31"/>
      <c r="FQ36" s="31"/>
      <c r="FR36" s="31"/>
      <c r="FS36" s="31"/>
      <c r="FT36" s="31"/>
      <c r="FU36" s="31"/>
      <c r="FV36" s="31"/>
      <c r="FW36" s="31"/>
      <c r="FX36" s="31"/>
      <c r="FY36" s="31"/>
      <c r="FZ36" s="31"/>
      <c r="GA36" s="31"/>
      <c r="GB36" s="31"/>
      <c r="GC36" s="31"/>
      <c r="GD36" s="31"/>
      <c r="GE36" s="31"/>
      <c r="GF36" s="31"/>
      <c r="GG36" s="31"/>
      <c r="GH36" s="31"/>
      <c r="GI36" s="31"/>
      <c r="GJ36" s="31"/>
      <c r="GK36" s="31"/>
      <c r="GL36" s="31"/>
      <c r="GM36" s="31"/>
      <c r="GN36" s="31"/>
      <c r="GO36" s="31"/>
      <c r="GP36" s="31"/>
      <c r="GQ36" s="31"/>
      <c r="GR36" s="31"/>
      <c r="GS36" s="31"/>
      <c r="GT36" s="31"/>
      <c r="GU36" s="31"/>
      <c r="GV36" s="31"/>
      <c r="GW36" s="31"/>
      <c r="GX36" s="31"/>
      <c r="GY36" s="31"/>
      <c r="GZ36" s="31"/>
      <c r="HA36" s="31"/>
      <c r="HB36" s="31"/>
      <c r="HC36" s="31"/>
      <c r="HD36" s="31"/>
      <c r="HE36" s="31"/>
      <c r="HF36" s="31"/>
      <c r="HG36" s="31"/>
      <c r="HH36" s="31"/>
      <c r="HI36" s="31"/>
      <c r="HJ36" s="31"/>
      <c r="HK36" s="31"/>
      <c r="HL36" s="31"/>
      <c r="HM36" s="31"/>
      <c r="HN36" s="31"/>
      <c r="HO36" s="31"/>
      <c r="HP36" s="31"/>
      <c r="HQ36" s="31"/>
      <c r="HR36" s="31"/>
      <c r="HS36" s="31"/>
      <c r="HT36" s="31"/>
      <c r="HU36" s="31"/>
      <c r="HV36" s="31"/>
      <c r="HW36" s="31"/>
      <c r="HX36" s="31"/>
      <c r="HY36" s="31"/>
      <c r="HZ36" s="31"/>
      <c r="IA36" s="31"/>
    </row>
    <row r="37" spans="1:235" ht="14.25" customHeight="1" x14ac:dyDescent="0.35">
      <c r="A37" s="55" t="s">
        <v>92</v>
      </c>
      <c r="B37" s="46"/>
      <c r="C37" s="46"/>
      <c r="D37" s="46"/>
      <c r="E37" s="46">
        <v>1600000</v>
      </c>
      <c r="F37" s="46">
        <v>1600000</v>
      </c>
      <c r="G37" s="46">
        <v>1600000</v>
      </c>
      <c r="H37" s="46">
        <v>1600000</v>
      </c>
      <c r="I37" s="46">
        <v>1600000</v>
      </c>
      <c r="J37" s="46">
        <v>1600000</v>
      </c>
      <c r="K37" s="46">
        <v>1600000</v>
      </c>
      <c r="L37" s="46">
        <v>1600000</v>
      </c>
      <c r="M37" s="46">
        <v>1600000</v>
      </c>
      <c r="N37" s="46">
        <v>1600000</v>
      </c>
      <c r="O37" s="46">
        <v>1600000</v>
      </c>
      <c r="P37" s="47"/>
      <c r="Q37" s="47"/>
      <c r="R37" s="47"/>
      <c r="S37" s="27"/>
      <c r="T37" s="30" t="s">
        <v>95</v>
      </c>
      <c r="U37" s="54"/>
      <c r="V37" s="69">
        <v>45700</v>
      </c>
      <c r="W37" s="69"/>
      <c r="X37" s="31">
        <v>60000</v>
      </c>
      <c r="Z37" s="31">
        <v>60000</v>
      </c>
      <c r="AA37" s="31" t="s">
        <v>30</v>
      </c>
      <c r="AB37" s="27">
        <f>+Z37</f>
        <v>60000</v>
      </c>
      <c r="AC37" s="31" t="s">
        <v>35</v>
      </c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  <c r="BR37" s="31"/>
      <c r="BS37" s="31"/>
      <c r="BT37" s="31"/>
      <c r="BU37" s="31"/>
      <c r="BV37" s="31"/>
      <c r="BW37" s="31"/>
      <c r="BX37" s="31"/>
      <c r="BY37" s="31"/>
      <c r="BZ37" s="31"/>
      <c r="CA37" s="31"/>
      <c r="CB37" s="31"/>
      <c r="CC37" s="31"/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31"/>
      <c r="CW37" s="31"/>
      <c r="CX37" s="31"/>
      <c r="CY37" s="31"/>
      <c r="CZ37" s="31"/>
      <c r="DA37" s="31"/>
      <c r="DB37" s="31"/>
      <c r="DC37" s="31"/>
      <c r="DD37" s="31"/>
      <c r="DE37" s="31"/>
      <c r="DF37" s="31"/>
      <c r="DG37" s="31"/>
      <c r="DH37" s="31"/>
      <c r="DI37" s="31"/>
      <c r="DJ37" s="31"/>
      <c r="DK37" s="31"/>
      <c r="DL37" s="31"/>
      <c r="DM37" s="31"/>
      <c r="DN37" s="31"/>
      <c r="DO37" s="31"/>
      <c r="DP37" s="31"/>
      <c r="DQ37" s="31"/>
      <c r="DR37" s="31"/>
      <c r="DS37" s="31"/>
      <c r="DT37" s="31"/>
      <c r="DU37" s="31"/>
      <c r="DV37" s="31"/>
      <c r="DW37" s="31"/>
      <c r="DX37" s="31"/>
      <c r="DY37" s="31"/>
      <c r="DZ37" s="31"/>
      <c r="EA37" s="31"/>
      <c r="EB37" s="31"/>
      <c r="EC37" s="31"/>
      <c r="ED37" s="31"/>
      <c r="EE37" s="31"/>
      <c r="EF37" s="31"/>
      <c r="EG37" s="31"/>
      <c r="EH37" s="31"/>
      <c r="EI37" s="31"/>
      <c r="EJ37" s="31"/>
      <c r="EK37" s="31"/>
      <c r="EL37" s="31"/>
      <c r="EM37" s="31"/>
      <c r="EN37" s="31"/>
      <c r="EO37" s="31"/>
      <c r="EP37" s="31"/>
      <c r="EQ37" s="31"/>
      <c r="ER37" s="31"/>
      <c r="ES37" s="31"/>
      <c r="ET37" s="31"/>
      <c r="EU37" s="31"/>
      <c r="EV37" s="31"/>
      <c r="EW37" s="31"/>
      <c r="EX37" s="31"/>
      <c r="EY37" s="31"/>
      <c r="EZ37" s="31"/>
      <c r="FA37" s="31"/>
      <c r="FB37" s="31"/>
      <c r="FC37" s="31"/>
      <c r="FD37" s="31"/>
      <c r="FE37" s="31"/>
      <c r="FF37" s="31"/>
      <c r="FG37" s="31"/>
      <c r="FH37" s="31"/>
      <c r="FI37" s="31"/>
      <c r="FJ37" s="31"/>
      <c r="FK37" s="31"/>
      <c r="FL37" s="31"/>
      <c r="FM37" s="31"/>
      <c r="FN37" s="31"/>
      <c r="FO37" s="31"/>
      <c r="FP37" s="31"/>
      <c r="FQ37" s="31"/>
      <c r="FR37" s="31"/>
      <c r="FS37" s="31"/>
      <c r="FT37" s="31"/>
      <c r="FU37" s="31"/>
      <c r="FV37" s="31"/>
      <c r="FW37" s="31"/>
      <c r="FX37" s="31"/>
      <c r="FY37" s="31"/>
      <c r="FZ37" s="31"/>
      <c r="GA37" s="31"/>
      <c r="GB37" s="31"/>
      <c r="GC37" s="31"/>
      <c r="GD37" s="31"/>
      <c r="GE37" s="31"/>
      <c r="GF37" s="31"/>
      <c r="GG37" s="31"/>
      <c r="GH37" s="31"/>
      <c r="GI37" s="31"/>
      <c r="GJ37" s="31"/>
      <c r="GK37" s="31"/>
      <c r="GL37" s="31"/>
      <c r="GM37" s="31"/>
      <c r="GN37" s="31"/>
      <c r="GO37" s="31"/>
      <c r="GP37" s="31"/>
      <c r="GQ37" s="31"/>
      <c r="GR37" s="31"/>
      <c r="GS37" s="31"/>
      <c r="GT37" s="31"/>
      <c r="GU37" s="31"/>
      <c r="GV37" s="31"/>
      <c r="GW37" s="31"/>
      <c r="GX37" s="31"/>
      <c r="GY37" s="31"/>
      <c r="GZ37" s="31"/>
      <c r="HA37" s="31"/>
      <c r="HB37" s="31"/>
      <c r="HC37" s="31"/>
      <c r="HD37" s="31"/>
      <c r="HE37" s="31"/>
      <c r="HF37" s="31"/>
      <c r="HG37" s="31"/>
      <c r="HH37" s="31"/>
      <c r="HI37" s="31"/>
      <c r="HJ37" s="31"/>
      <c r="HK37" s="31"/>
      <c r="HL37" s="31"/>
      <c r="HM37" s="31"/>
      <c r="HN37" s="31"/>
      <c r="HO37" s="31"/>
      <c r="HP37" s="31"/>
      <c r="HQ37" s="31"/>
      <c r="HR37" s="31"/>
      <c r="HS37" s="31"/>
      <c r="HT37" s="31"/>
      <c r="HU37" s="31"/>
      <c r="HV37" s="31"/>
      <c r="HW37" s="31"/>
      <c r="HX37" s="31"/>
      <c r="HY37" s="31"/>
      <c r="HZ37" s="31"/>
      <c r="IA37" s="31"/>
    </row>
    <row r="38" spans="1:235" ht="14.25" customHeight="1" x14ac:dyDescent="0.35">
      <c r="A38" s="55" t="s">
        <v>94</v>
      </c>
      <c r="B38" s="46"/>
      <c r="C38" s="46"/>
      <c r="D38" s="46"/>
      <c r="E38" s="46">
        <v>1693965</v>
      </c>
      <c r="F38" s="46">
        <v>846982.5</v>
      </c>
      <c r="G38" s="46">
        <v>846982.5</v>
      </c>
      <c r="H38" s="46">
        <v>846982.5</v>
      </c>
      <c r="I38" s="46">
        <v>846982.5</v>
      </c>
      <c r="J38" s="46">
        <v>846982.5</v>
      </c>
      <c r="K38" s="46">
        <v>846982.5</v>
      </c>
      <c r="L38" s="46">
        <v>846982.5</v>
      </c>
      <c r="M38" s="46">
        <v>846982.5</v>
      </c>
      <c r="N38" s="46">
        <v>846982.5</v>
      </c>
      <c r="O38" s="46">
        <v>846982.5</v>
      </c>
      <c r="P38" s="47"/>
      <c r="Q38" s="47"/>
      <c r="R38" s="47"/>
      <c r="S38" s="27"/>
      <c r="T38" s="56" t="s">
        <v>96</v>
      </c>
      <c r="U38" s="54"/>
      <c r="V38" s="69">
        <v>45703</v>
      </c>
      <c r="W38" s="69"/>
      <c r="X38" s="31">
        <v>680000</v>
      </c>
      <c r="Y38" s="31"/>
      <c r="Z38" s="31">
        <v>680000</v>
      </c>
      <c r="AA38" s="31" t="s">
        <v>30</v>
      </c>
      <c r="AB38" s="27">
        <f>+Z38</f>
        <v>680000</v>
      </c>
      <c r="AC38" s="31" t="s">
        <v>37</v>
      </c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31"/>
      <c r="BS38" s="31"/>
      <c r="BT38" s="31"/>
      <c r="BU38" s="31"/>
      <c r="BV38" s="31"/>
      <c r="BW38" s="31"/>
      <c r="BX38" s="31"/>
      <c r="BY38" s="31"/>
      <c r="BZ38" s="31"/>
      <c r="CA38" s="31"/>
      <c r="CB38" s="31"/>
      <c r="CC38" s="31"/>
      <c r="CD38" s="31"/>
      <c r="CE38" s="31"/>
      <c r="CF38" s="31"/>
      <c r="CG38" s="31"/>
      <c r="CH38" s="31"/>
      <c r="CI38" s="31"/>
      <c r="CJ38" s="31"/>
      <c r="CK38" s="31"/>
      <c r="CL38" s="31"/>
      <c r="CM38" s="31"/>
      <c r="CN38" s="31"/>
      <c r="CO38" s="31"/>
      <c r="CP38" s="31"/>
      <c r="CQ38" s="31"/>
      <c r="CR38" s="31"/>
      <c r="CS38" s="31"/>
      <c r="CT38" s="31"/>
      <c r="CU38" s="31"/>
      <c r="CV38" s="31"/>
      <c r="CW38" s="31"/>
      <c r="CX38" s="31"/>
      <c r="CY38" s="31"/>
      <c r="CZ38" s="31"/>
      <c r="DA38" s="31"/>
      <c r="DB38" s="31"/>
      <c r="DC38" s="31"/>
      <c r="DD38" s="31"/>
      <c r="DE38" s="31"/>
      <c r="DF38" s="31"/>
      <c r="DG38" s="31"/>
      <c r="DH38" s="31"/>
      <c r="DI38" s="31"/>
      <c r="DJ38" s="31"/>
      <c r="DK38" s="31"/>
      <c r="DL38" s="31"/>
      <c r="DM38" s="31"/>
      <c r="DN38" s="31"/>
      <c r="DO38" s="31"/>
      <c r="DP38" s="31"/>
      <c r="DQ38" s="31"/>
      <c r="DR38" s="31"/>
      <c r="DS38" s="31"/>
      <c r="DT38" s="31"/>
      <c r="DU38" s="31"/>
      <c r="DV38" s="31"/>
      <c r="DW38" s="31"/>
      <c r="DX38" s="31"/>
      <c r="DY38" s="31"/>
      <c r="DZ38" s="31"/>
      <c r="EA38" s="31"/>
      <c r="EB38" s="31"/>
      <c r="EC38" s="31"/>
      <c r="ED38" s="31"/>
      <c r="EE38" s="31"/>
      <c r="EF38" s="31"/>
      <c r="EG38" s="31"/>
      <c r="EH38" s="31"/>
      <c r="EI38" s="31"/>
      <c r="EJ38" s="31"/>
      <c r="EK38" s="31"/>
      <c r="EL38" s="31"/>
      <c r="EM38" s="31"/>
      <c r="EN38" s="31"/>
      <c r="EO38" s="31"/>
      <c r="EP38" s="31"/>
      <c r="EQ38" s="31"/>
      <c r="ER38" s="31"/>
      <c r="ES38" s="31"/>
      <c r="ET38" s="31"/>
      <c r="EU38" s="31"/>
      <c r="EV38" s="31"/>
      <c r="EW38" s="31"/>
      <c r="EX38" s="31"/>
      <c r="EY38" s="31"/>
      <c r="EZ38" s="31"/>
      <c r="FA38" s="31"/>
      <c r="FB38" s="31"/>
      <c r="FC38" s="31"/>
      <c r="FD38" s="31"/>
      <c r="FE38" s="31"/>
      <c r="FF38" s="31"/>
      <c r="FG38" s="31"/>
      <c r="FH38" s="31"/>
      <c r="FI38" s="31"/>
      <c r="FJ38" s="31"/>
      <c r="FK38" s="31"/>
      <c r="FL38" s="31"/>
      <c r="FM38" s="31"/>
      <c r="FN38" s="31"/>
      <c r="FO38" s="31"/>
      <c r="FP38" s="31"/>
      <c r="FQ38" s="31"/>
      <c r="FR38" s="31"/>
      <c r="FS38" s="31"/>
      <c r="FT38" s="31"/>
      <c r="FU38" s="31"/>
      <c r="FV38" s="31"/>
      <c r="FW38" s="31"/>
      <c r="FX38" s="31"/>
      <c r="FY38" s="31"/>
      <c r="FZ38" s="31"/>
      <c r="GA38" s="31"/>
      <c r="GB38" s="31"/>
      <c r="GC38" s="31"/>
      <c r="GD38" s="31"/>
      <c r="GE38" s="31"/>
      <c r="GF38" s="31"/>
      <c r="GG38" s="31"/>
      <c r="GH38" s="31"/>
      <c r="GI38" s="31"/>
      <c r="GJ38" s="31"/>
      <c r="GK38" s="31"/>
      <c r="GL38" s="31"/>
      <c r="GM38" s="31"/>
      <c r="GN38" s="31"/>
      <c r="GO38" s="31"/>
      <c r="GP38" s="31"/>
      <c r="GQ38" s="31"/>
      <c r="GR38" s="31"/>
      <c r="GS38" s="31"/>
      <c r="GT38" s="31"/>
      <c r="GU38" s="31"/>
      <c r="GV38" s="31"/>
      <c r="GW38" s="31"/>
      <c r="GX38" s="31"/>
      <c r="GY38" s="31"/>
      <c r="GZ38" s="31"/>
      <c r="HA38" s="31"/>
      <c r="HB38" s="31"/>
      <c r="HC38" s="31"/>
      <c r="HD38" s="31"/>
      <c r="HE38" s="31"/>
      <c r="HF38" s="31"/>
      <c r="HG38" s="31"/>
      <c r="HH38" s="31"/>
      <c r="HI38" s="31"/>
      <c r="HJ38" s="31"/>
      <c r="HK38" s="31"/>
      <c r="HL38" s="31"/>
      <c r="HM38" s="31"/>
      <c r="HN38" s="31"/>
      <c r="HO38" s="31"/>
      <c r="HP38" s="31"/>
      <c r="HQ38" s="31"/>
      <c r="HR38" s="31"/>
      <c r="HS38" s="31"/>
      <c r="HT38" s="31"/>
      <c r="HU38" s="31"/>
      <c r="HV38" s="31"/>
      <c r="HW38" s="31"/>
      <c r="HX38" s="31"/>
      <c r="HY38" s="31"/>
      <c r="HZ38" s="31"/>
      <c r="IA38" s="31"/>
    </row>
    <row r="39" spans="1:235" ht="14.25" customHeight="1" x14ac:dyDescent="0.35">
      <c r="A39" s="55" t="s">
        <v>174</v>
      </c>
      <c r="B39" s="46"/>
      <c r="C39" s="46"/>
      <c r="D39" s="46"/>
      <c r="E39" s="46">
        <v>1250000</v>
      </c>
      <c r="F39" s="46">
        <v>2500000</v>
      </c>
      <c r="G39" s="46">
        <v>2500000</v>
      </c>
      <c r="H39" s="46">
        <v>2500000</v>
      </c>
      <c r="I39" s="46">
        <v>3500000</v>
      </c>
      <c r="J39" s="46">
        <v>3500000</v>
      </c>
      <c r="K39" s="46">
        <v>3500000</v>
      </c>
      <c r="L39" s="46">
        <v>3500000</v>
      </c>
      <c r="M39" s="46">
        <v>3500000</v>
      </c>
      <c r="N39" s="46">
        <v>3500000</v>
      </c>
      <c r="O39" s="46">
        <v>3500000</v>
      </c>
      <c r="P39" s="47"/>
      <c r="Q39" s="47"/>
      <c r="R39" s="47"/>
      <c r="S39" s="27"/>
      <c r="T39" s="30" t="s">
        <v>98</v>
      </c>
      <c r="U39" s="54"/>
      <c r="V39" s="69">
        <v>45703</v>
      </c>
      <c r="W39" s="69"/>
      <c r="X39" s="31">
        <f>+Z39</f>
        <v>276000</v>
      </c>
      <c r="Y39" s="31"/>
      <c r="Z39" s="31">
        <v>276000</v>
      </c>
      <c r="AA39" s="31" t="s">
        <v>30</v>
      </c>
      <c r="AB39" s="27">
        <f>+Z39</f>
        <v>276000</v>
      </c>
      <c r="AC39" s="31" t="s">
        <v>57</v>
      </c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1"/>
      <c r="BX39" s="31"/>
      <c r="BY39" s="31"/>
      <c r="BZ39" s="31"/>
      <c r="CA39" s="31"/>
      <c r="CB39" s="31"/>
      <c r="CC39" s="31"/>
      <c r="CD39" s="31"/>
      <c r="CE39" s="31"/>
      <c r="CF39" s="31"/>
      <c r="CG39" s="31"/>
      <c r="CH39" s="31"/>
      <c r="CI39" s="31"/>
      <c r="CJ39" s="31"/>
      <c r="CK39" s="31"/>
      <c r="CL39" s="31"/>
      <c r="CM39" s="31"/>
      <c r="CN39" s="31"/>
      <c r="CO39" s="31"/>
      <c r="CP39" s="31"/>
      <c r="CQ39" s="31"/>
      <c r="CR39" s="31"/>
      <c r="CS39" s="31"/>
      <c r="CT39" s="31"/>
      <c r="CU39" s="31"/>
      <c r="CV39" s="31"/>
      <c r="CW39" s="31"/>
      <c r="CX39" s="31"/>
      <c r="CY39" s="31"/>
      <c r="CZ39" s="31"/>
      <c r="DA39" s="31"/>
      <c r="DB39" s="31"/>
      <c r="DC39" s="31"/>
      <c r="DD39" s="31"/>
      <c r="DE39" s="31"/>
      <c r="DF39" s="31"/>
      <c r="DG39" s="31"/>
      <c r="DH39" s="31"/>
      <c r="DI39" s="31"/>
      <c r="DJ39" s="31"/>
      <c r="DK39" s="31"/>
      <c r="DL39" s="31"/>
      <c r="DM39" s="31"/>
      <c r="DN39" s="31"/>
      <c r="DO39" s="31"/>
      <c r="DP39" s="31"/>
      <c r="DQ39" s="31"/>
      <c r="DR39" s="31"/>
      <c r="DS39" s="31"/>
      <c r="DT39" s="31"/>
      <c r="DU39" s="31"/>
      <c r="DV39" s="31"/>
      <c r="DW39" s="31"/>
      <c r="DX39" s="31"/>
      <c r="DY39" s="31"/>
      <c r="DZ39" s="31"/>
      <c r="EA39" s="31"/>
      <c r="EB39" s="31"/>
      <c r="EC39" s="31"/>
      <c r="ED39" s="31"/>
      <c r="EE39" s="31"/>
      <c r="EF39" s="31"/>
      <c r="EG39" s="31"/>
      <c r="EH39" s="31"/>
      <c r="EI39" s="31"/>
      <c r="EJ39" s="31"/>
      <c r="EK39" s="31"/>
      <c r="EL39" s="31"/>
      <c r="EM39" s="31"/>
      <c r="EN39" s="31"/>
      <c r="EO39" s="31"/>
      <c r="EP39" s="31"/>
      <c r="EQ39" s="31"/>
      <c r="ER39" s="31"/>
      <c r="ES39" s="31"/>
      <c r="ET39" s="31"/>
      <c r="EU39" s="31"/>
      <c r="EV39" s="31"/>
      <c r="EW39" s="31"/>
      <c r="EX39" s="31"/>
      <c r="EY39" s="31"/>
      <c r="EZ39" s="31"/>
      <c r="FA39" s="31"/>
      <c r="FB39" s="31"/>
      <c r="FC39" s="31"/>
      <c r="FD39" s="31"/>
      <c r="FE39" s="31"/>
      <c r="FF39" s="31"/>
      <c r="FG39" s="31"/>
      <c r="FH39" s="31"/>
      <c r="FI39" s="31"/>
      <c r="FJ39" s="31"/>
      <c r="FK39" s="31"/>
      <c r="FL39" s="31"/>
      <c r="FM39" s="31"/>
      <c r="FN39" s="31"/>
      <c r="FO39" s="31"/>
      <c r="FP39" s="31"/>
      <c r="FQ39" s="31"/>
      <c r="FR39" s="31"/>
      <c r="FS39" s="31"/>
      <c r="FT39" s="31"/>
      <c r="FU39" s="31"/>
      <c r="FV39" s="31"/>
      <c r="FW39" s="31"/>
      <c r="FX39" s="31"/>
      <c r="FY39" s="31"/>
      <c r="FZ39" s="31"/>
      <c r="GA39" s="31"/>
      <c r="GB39" s="31"/>
      <c r="GC39" s="31"/>
      <c r="GD39" s="31"/>
      <c r="GE39" s="31"/>
      <c r="GF39" s="31"/>
      <c r="GG39" s="31"/>
      <c r="GH39" s="31"/>
      <c r="GI39" s="31"/>
      <c r="GJ39" s="31"/>
      <c r="GK39" s="31"/>
      <c r="GL39" s="31"/>
      <c r="GM39" s="31"/>
      <c r="GN39" s="31"/>
      <c r="GO39" s="31"/>
      <c r="GP39" s="31"/>
      <c r="GQ39" s="31"/>
      <c r="GR39" s="31"/>
      <c r="GS39" s="31"/>
      <c r="GT39" s="31"/>
      <c r="GU39" s="31"/>
      <c r="GV39" s="31"/>
      <c r="GW39" s="31"/>
      <c r="GX39" s="31"/>
      <c r="GY39" s="31"/>
      <c r="GZ39" s="31"/>
      <c r="HA39" s="31"/>
      <c r="HB39" s="31"/>
      <c r="HC39" s="31"/>
      <c r="HD39" s="31"/>
      <c r="HE39" s="31"/>
      <c r="HF39" s="31"/>
      <c r="HG39" s="31"/>
      <c r="HH39" s="31"/>
      <c r="HI39" s="31"/>
      <c r="HJ39" s="31"/>
      <c r="HK39" s="31"/>
      <c r="HL39" s="31"/>
      <c r="HM39" s="31"/>
      <c r="HN39" s="31"/>
      <c r="HO39" s="31"/>
      <c r="HP39" s="31"/>
      <c r="HQ39" s="31"/>
      <c r="HR39" s="31"/>
      <c r="HS39" s="31"/>
      <c r="HT39" s="31"/>
      <c r="HU39" s="31"/>
      <c r="HV39" s="31"/>
      <c r="HW39" s="31"/>
      <c r="HX39" s="31"/>
      <c r="HY39" s="31"/>
      <c r="HZ39" s="31"/>
      <c r="IA39" s="31"/>
    </row>
    <row r="40" spans="1:235" ht="14.25" customHeight="1" x14ac:dyDescent="0.35">
      <c r="A40" s="55" t="s">
        <v>97</v>
      </c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7"/>
      <c r="Q40" s="47"/>
      <c r="R40" s="47"/>
      <c r="S40" s="27"/>
      <c r="T40" s="30" t="s">
        <v>99</v>
      </c>
      <c r="U40" s="54"/>
      <c r="V40" s="69">
        <v>45703</v>
      </c>
      <c r="W40" s="69"/>
      <c r="X40" s="31">
        <v>210400</v>
      </c>
      <c r="Y40" s="31"/>
      <c r="Z40" s="31">
        <v>210400</v>
      </c>
      <c r="AA40" s="31" t="s">
        <v>30</v>
      </c>
      <c r="AB40" s="27">
        <f>+Z40</f>
        <v>210400</v>
      </c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  <c r="BS40" s="31"/>
      <c r="BT40" s="31"/>
      <c r="BU40" s="31"/>
      <c r="BV40" s="31"/>
      <c r="BW40" s="31"/>
      <c r="BX40" s="31"/>
      <c r="BY40" s="31"/>
      <c r="BZ40" s="31"/>
      <c r="CA40" s="31"/>
      <c r="CB40" s="31"/>
      <c r="CC40" s="31"/>
      <c r="CD40" s="31"/>
      <c r="CE40" s="31"/>
      <c r="CF40" s="31"/>
      <c r="CG40" s="31"/>
      <c r="CH40" s="31"/>
      <c r="CI40" s="31"/>
      <c r="CJ40" s="31"/>
      <c r="CK40" s="31"/>
      <c r="CL40" s="31"/>
      <c r="CM40" s="31"/>
      <c r="CN40" s="31"/>
      <c r="CO40" s="31"/>
      <c r="CP40" s="31"/>
      <c r="CQ40" s="31"/>
      <c r="CR40" s="31"/>
      <c r="CS40" s="31"/>
      <c r="CT40" s="31"/>
      <c r="CU40" s="31"/>
      <c r="CV40" s="31"/>
      <c r="CW40" s="31"/>
      <c r="CX40" s="31"/>
      <c r="CY40" s="31"/>
      <c r="CZ40" s="31"/>
      <c r="DA40" s="31"/>
      <c r="DB40" s="31"/>
      <c r="DC40" s="31"/>
      <c r="DD40" s="31"/>
      <c r="DE40" s="31"/>
      <c r="DF40" s="31"/>
      <c r="DG40" s="31"/>
      <c r="DH40" s="31"/>
      <c r="DI40" s="31"/>
      <c r="DJ40" s="31"/>
      <c r="DK40" s="31"/>
      <c r="DL40" s="31"/>
      <c r="DM40" s="31"/>
      <c r="DN40" s="31"/>
      <c r="DO40" s="31"/>
      <c r="DP40" s="31"/>
      <c r="DQ40" s="31"/>
      <c r="DR40" s="31"/>
      <c r="DS40" s="31"/>
      <c r="DT40" s="31"/>
      <c r="DU40" s="31"/>
      <c r="DV40" s="31"/>
      <c r="DW40" s="31"/>
      <c r="DX40" s="31"/>
      <c r="DY40" s="31"/>
      <c r="DZ40" s="31"/>
      <c r="EA40" s="31"/>
      <c r="EB40" s="31"/>
      <c r="EC40" s="31"/>
      <c r="ED40" s="31"/>
      <c r="EE40" s="31"/>
      <c r="EF40" s="31"/>
      <c r="EG40" s="31"/>
      <c r="EH40" s="31"/>
      <c r="EI40" s="31"/>
      <c r="EJ40" s="31"/>
      <c r="EK40" s="31"/>
      <c r="EL40" s="31"/>
      <c r="EM40" s="31"/>
      <c r="EN40" s="31"/>
      <c r="EO40" s="31"/>
      <c r="EP40" s="31"/>
      <c r="EQ40" s="31"/>
      <c r="ER40" s="31"/>
      <c r="ES40" s="31"/>
      <c r="ET40" s="31"/>
      <c r="EU40" s="31"/>
      <c r="EV40" s="31"/>
      <c r="EW40" s="31"/>
      <c r="EX40" s="31"/>
      <c r="EY40" s="31"/>
      <c r="EZ40" s="31"/>
      <c r="FA40" s="31"/>
      <c r="FB40" s="31"/>
      <c r="FC40" s="31"/>
      <c r="FD40" s="31"/>
      <c r="FE40" s="31"/>
      <c r="FF40" s="31"/>
      <c r="FG40" s="31"/>
      <c r="FH40" s="31"/>
      <c r="FI40" s="31"/>
      <c r="FJ40" s="31"/>
      <c r="FK40" s="31"/>
      <c r="FL40" s="31"/>
      <c r="FM40" s="31"/>
      <c r="FN40" s="31"/>
      <c r="FO40" s="31"/>
      <c r="FP40" s="31"/>
      <c r="FQ40" s="31"/>
      <c r="FR40" s="31"/>
      <c r="FS40" s="31"/>
      <c r="FT40" s="31"/>
      <c r="FU40" s="31"/>
      <c r="FV40" s="31"/>
      <c r="FW40" s="31"/>
      <c r="FX40" s="31"/>
      <c r="FY40" s="31"/>
      <c r="FZ40" s="31"/>
      <c r="GA40" s="31"/>
      <c r="GB40" s="31"/>
      <c r="GC40" s="31"/>
      <c r="GD40" s="31"/>
      <c r="GE40" s="31"/>
      <c r="GF40" s="31"/>
      <c r="GG40" s="31"/>
      <c r="GH40" s="31"/>
      <c r="GI40" s="31"/>
      <c r="GJ40" s="31"/>
      <c r="GK40" s="31"/>
      <c r="GL40" s="31"/>
      <c r="GM40" s="31"/>
      <c r="GN40" s="31"/>
      <c r="GO40" s="31"/>
      <c r="GP40" s="31"/>
      <c r="GQ40" s="31"/>
      <c r="GR40" s="31"/>
      <c r="GS40" s="31"/>
      <c r="GT40" s="31"/>
      <c r="GU40" s="31"/>
      <c r="GV40" s="31"/>
      <c r="GW40" s="31"/>
      <c r="GX40" s="31"/>
      <c r="GY40" s="31"/>
      <c r="GZ40" s="31"/>
      <c r="HA40" s="31"/>
      <c r="HB40" s="31"/>
      <c r="HC40" s="31"/>
      <c r="HD40" s="31"/>
      <c r="HE40" s="31"/>
      <c r="HF40" s="31"/>
      <c r="HG40" s="31"/>
      <c r="HH40" s="31"/>
      <c r="HI40" s="31"/>
      <c r="HJ40" s="31"/>
      <c r="HK40" s="31"/>
      <c r="HL40" s="31"/>
      <c r="HM40" s="31"/>
      <c r="HN40" s="31"/>
      <c r="HO40" s="31"/>
      <c r="HP40" s="31"/>
      <c r="HQ40" s="31"/>
      <c r="HR40" s="31"/>
      <c r="HS40" s="31"/>
      <c r="HT40" s="31"/>
      <c r="HU40" s="31"/>
      <c r="HV40" s="31"/>
      <c r="HW40" s="31"/>
      <c r="HX40" s="31"/>
      <c r="HY40" s="31"/>
      <c r="HZ40" s="31"/>
      <c r="IA40" s="31"/>
    </row>
    <row r="41" spans="1:235" ht="14.25" customHeight="1" x14ac:dyDescent="0.35">
      <c r="A41" s="70" t="s">
        <v>176</v>
      </c>
      <c r="B41" s="46"/>
      <c r="C41" s="46"/>
      <c r="D41" s="46"/>
      <c r="E41" s="46"/>
      <c r="F41" s="46">
        <v>4000000</v>
      </c>
      <c r="G41" s="46"/>
      <c r="H41" s="46">
        <v>1600000</v>
      </c>
      <c r="I41" s="46">
        <v>1600000</v>
      </c>
      <c r="J41" s="46">
        <v>1600000</v>
      </c>
      <c r="K41" s="46">
        <v>1600000</v>
      </c>
      <c r="L41" s="46">
        <v>1600000</v>
      </c>
      <c r="M41" s="46">
        <v>1600000</v>
      </c>
      <c r="N41" s="46">
        <v>1600000</v>
      </c>
      <c r="O41" s="46">
        <v>1600000</v>
      </c>
      <c r="P41" s="47"/>
      <c r="Q41" s="47"/>
      <c r="R41" s="47"/>
      <c r="S41" s="27"/>
      <c r="T41" s="76" t="s">
        <v>100</v>
      </c>
      <c r="U41" s="77"/>
      <c r="V41" s="78"/>
      <c r="W41" s="79">
        <f>SUM(W9:W40)</f>
        <v>7058958.8999999994</v>
      </c>
      <c r="X41" s="78">
        <f>SUM(X9:X40)</f>
        <v>5849348</v>
      </c>
      <c r="Y41" s="78">
        <f>SUM(Y10:Y37)</f>
        <v>0</v>
      </c>
      <c r="Z41" s="78">
        <f>SUM(Z9:Z40)</f>
        <v>12908306.899999999</v>
      </c>
      <c r="AB41" s="78">
        <f>SUM(AB9:AB40)</f>
        <v>12908306.899999999</v>
      </c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  <c r="CL41" s="31"/>
      <c r="CM41" s="31"/>
      <c r="CN41" s="31"/>
      <c r="CO41" s="31"/>
      <c r="CP41" s="31"/>
      <c r="CQ41" s="31"/>
      <c r="CR41" s="31"/>
      <c r="CS41" s="31"/>
      <c r="CT41" s="31"/>
      <c r="CU41" s="31"/>
      <c r="CV41" s="31"/>
      <c r="CW41" s="31"/>
      <c r="CX41" s="31"/>
      <c r="CY41" s="31"/>
      <c r="CZ41" s="31"/>
      <c r="DA41" s="31"/>
      <c r="DB41" s="31"/>
      <c r="DC41" s="31"/>
      <c r="DD41" s="31"/>
      <c r="DE41" s="31"/>
      <c r="DF41" s="31"/>
      <c r="DG41" s="31"/>
      <c r="DH41" s="31"/>
      <c r="DI41" s="31"/>
      <c r="DJ41" s="31"/>
      <c r="DK41" s="31"/>
      <c r="DL41" s="31"/>
      <c r="DM41" s="31"/>
      <c r="DN41" s="31"/>
      <c r="DO41" s="31"/>
      <c r="DP41" s="31"/>
      <c r="DQ41" s="31"/>
      <c r="DR41" s="31"/>
      <c r="DS41" s="31"/>
      <c r="DT41" s="31"/>
      <c r="DU41" s="31"/>
      <c r="DV41" s="31"/>
      <c r="DW41" s="31"/>
      <c r="DX41" s="31"/>
      <c r="DY41" s="31"/>
      <c r="DZ41" s="31"/>
      <c r="EA41" s="31"/>
      <c r="EB41" s="31"/>
      <c r="EC41" s="31"/>
      <c r="ED41" s="31"/>
      <c r="EE41" s="31"/>
      <c r="EF41" s="31"/>
      <c r="EG41" s="31"/>
      <c r="EH41" s="31"/>
      <c r="EI41" s="31"/>
      <c r="EJ41" s="31"/>
      <c r="EK41" s="31"/>
      <c r="EL41" s="31"/>
      <c r="EM41" s="31"/>
      <c r="EN41" s="31"/>
      <c r="EO41" s="31"/>
      <c r="EP41" s="31"/>
      <c r="EQ41" s="31"/>
      <c r="ER41" s="31"/>
      <c r="ES41" s="31"/>
      <c r="ET41" s="31"/>
      <c r="EU41" s="31"/>
      <c r="EV41" s="31"/>
      <c r="EW41" s="31"/>
      <c r="EX41" s="31"/>
      <c r="EY41" s="31"/>
      <c r="EZ41" s="31"/>
      <c r="FA41" s="31"/>
      <c r="FB41" s="31"/>
      <c r="FC41" s="31"/>
      <c r="FD41" s="31"/>
      <c r="FE41" s="31"/>
      <c r="FF41" s="31"/>
      <c r="FG41" s="31"/>
      <c r="FH41" s="31"/>
      <c r="FI41" s="31"/>
      <c r="FJ41" s="31"/>
      <c r="FK41" s="31"/>
      <c r="FL41" s="31"/>
      <c r="FM41" s="31"/>
      <c r="FN41" s="31"/>
      <c r="FO41" s="31"/>
      <c r="FP41" s="31"/>
      <c r="FQ41" s="31"/>
      <c r="FR41" s="31"/>
      <c r="FS41" s="31"/>
      <c r="FT41" s="31"/>
      <c r="FU41" s="31"/>
      <c r="FV41" s="31"/>
      <c r="FW41" s="31"/>
      <c r="FX41" s="31"/>
      <c r="FY41" s="31"/>
      <c r="FZ41" s="31"/>
      <c r="GA41" s="31"/>
      <c r="GB41" s="31"/>
      <c r="GC41" s="31"/>
      <c r="GD41" s="31"/>
      <c r="GE41" s="31"/>
      <c r="GF41" s="31"/>
      <c r="GG41" s="31"/>
      <c r="GH41" s="31"/>
      <c r="GI41" s="31"/>
      <c r="GJ41" s="31"/>
      <c r="GK41" s="31"/>
      <c r="GL41" s="31"/>
      <c r="GM41" s="31"/>
      <c r="GN41" s="31"/>
      <c r="GO41" s="31"/>
      <c r="GP41" s="31"/>
      <c r="GQ41" s="31"/>
      <c r="GR41" s="31"/>
      <c r="GS41" s="31"/>
      <c r="GT41" s="31"/>
      <c r="GU41" s="31"/>
      <c r="GV41" s="31"/>
      <c r="GW41" s="31"/>
      <c r="GX41" s="31"/>
      <c r="GY41" s="31"/>
      <c r="GZ41" s="31"/>
      <c r="HA41" s="31"/>
      <c r="HB41" s="31"/>
      <c r="HC41" s="31"/>
      <c r="HD41" s="31"/>
      <c r="HE41" s="31"/>
      <c r="HF41" s="31"/>
      <c r="HG41" s="31"/>
      <c r="HH41" s="31"/>
      <c r="HI41" s="31"/>
      <c r="HJ41" s="31"/>
      <c r="HK41" s="31"/>
      <c r="HL41" s="31"/>
      <c r="HM41" s="31"/>
      <c r="HN41" s="31"/>
      <c r="HO41" s="31"/>
      <c r="HP41" s="31"/>
      <c r="HQ41" s="31"/>
      <c r="HR41" s="31"/>
      <c r="HS41" s="31"/>
      <c r="HT41" s="31"/>
      <c r="HU41" s="31"/>
      <c r="HV41" s="31"/>
      <c r="HW41" s="31"/>
      <c r="HX41" s="31"/>
      <c r="HY41" s="31"/>
      <c r="HZ41" s="31"/>
    </row>
    <row r="42" spans="1:235" ht="14.25" customHeight="1" x14ac:dyDescent="0.35">
      <c r="A42" s="55" t="s">
        <v>177</v>
      </c>
      <c r="B42" s="46"/>
      <c r="C42" s="46"/>
      <c r="D42" s="46"/>
      <c r="E42" s="46"/>
      <c r="F42" s="46">
        <f>12000000+2491000</f>
        <v>14491000</v>
      </c>
      <c r="G42" s="46">
        <v>3940000</v>
      </c>
      <c r="H42" s="46">
        <v>5000000</v>
      </c>
      <c r="I42" s="46"/>
      <c r="J42" s="46"/>
      <c r="K42" s="46"/>
      <c r="L42" s="46"/>
      <c r="M42" s="46"/>
      <c r="N42" s="46"/>
      <c r="O42" s="46"/>
      <c r="P42" s="47"/>
      <c r="Q42" s="47"/>
      <c r="R42" s="47"/>
      <c r="S42" s="27"/>
      <c r="T42" s="76"/>
      <c r="U42" s="27"/>
      <c r="V42" s="31"/>
      <c r="W42" s="31"/>
      <c r="X42" s="31"/>
      <c r="Y42" s="31"/>
      <c r="Z42" s="78"/>
      <c r="AA42" s="31"/>
      <c r="AB42" s="31">
        <v>13520000</v>
      </c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31"/>
      <c r="BV42" s="31"/>
      <c r="BW42" s="31"/>
      <c r="BX42" s="31"/>
      <c r="BY42" s="31"/>
      <c r="BZ42" s="31"/>
      <c r="CA42" s="31"/>
      <c r="CB42" s="31"/>
      <c r="CC42" s="31"/>
      <c r="CD42" s="31"/>
      <c r="CE42" s="31"/>
      <c r="CF42" s="31"/>
      <c r="CG42" s="31"/>
      <c r="CH42" s="31"/>
      <c r="CI42" s="31"/>
      <c r="CJ42" s="31"/>
      <c r="CK42" s="31"/>
      <c r="CL42" s="31"/>
      <c r="CM42" s="31"/>
      <c r="CN42" s="31"/>
      <c r="CO42" s="31"/>
      <c r="CP42" s="31"/>
      <c r="CQ42" s="31"/>
      <c r="CR42" s="31"/>
      <c r="CS42" s="31"/>
      <c r="CT42" s="31"/>
      <c r="CU42" s="31"/>
      <c r="CV42" s="31"/>
      <c r="CW42" s="31"/>
      <c r="CX42" s="31"/>
      <c r="CY42" s="31"/>
      <c r="CZ42" s="31"/>
      <c r="DA42" s="31"/>
      <c r="DB42" s="31"/>
      <c r="DC42" s="31"/>
      <c r="DD42" s="31"/>
      <c r="DE42" s="31"/>
      <c r="DF42" s="31"/>
      <c r="DG42" s="31"/>
      <c r="DH42" s="31"/>
      <c r="DI42" s="31"/>
      <c r="DJ42" s="31"/>
      <c r="DK42" s="31"/>
      <c r="DL42" s="31"/>
      <c r="DM42" s="31"/>
      <c r="DN42" s="31"/>
      <c r="DO42" s="31"/>
      <c r="DP42" s="31"/>
      <c r="DQ42" s="31"/>
      <c r="DR42" s="31"/>
      <c r="DS42" s="31"/>
      <c r="DT42" s="31"/>
      <c r="DU42" s="31"/>
      <c r="DV42" s="31"/>
      <c r="DW42" s="31"/>
      <c r="DX42" s="31"/>
      <c r="DY42" s="31"/>
      <c r="DZ42" s="31"/>
      <c r="EA42" s="31"/>
      <c r="EB42" s="31"/>
      <c r="EC42" s="31"/>
      <c r="ED42" s="31"/>
      <c r="EE42" s="31"/>
      <c r="EF42" s="31"/>
      <c r="EG42" s="31"/>
      <c r="EH42" s="31"/>
      <c r="EI42" s="31"/>
      <c r="EJ42" s="31"/>
      <c r="EK42" s="31"/>
      <c r="EL42" s="31"/>
      <c r="EM42" s="31"/>
      <c r="EN42" s="31"/>
      <c r="EO42" s="31"/>
      <c r="EP42" s="31"/>
      <c r="EQ42" s="31"/>
      <c r="ER42" s="31"/>
      <c r="ES42" s="31"/>
      <c r="ET42" s="31"/>
      <c r="EU42" s="31"/>
      <c r="EV42" s="31"/>
      <c r="EW42" s="31"/>
      <c r="EX42" s="31"/>
      <c r="EY42" s="31"/>
      <c r="EZ42" s="31"/>
      <c r="FA42" s="31"/>
      <c r="FB42" s="31"/>
      <c r="FC42" s="31"/>
      <c r="FD42" s="31"/>
      <c r="FE42" s="31"/>
      <c r="FF42" s="31"/>
      <c r="FG42" s="31"/>
      <c r="FH42" s="31"/>
      <c r="FI42" s="31"/>
      <c r="FJ42" s="31"/>
      <c r="FK42" s="31"/>
      <c r="FL42" s="31"/>
      <c r="FM42" s="31"/>
      <c r="FN42" s="31"/>
      <c r="FO42" s="31"/>
      <c r="FP42" s="31"/>
      <c r="FQ42" s="31"/>
      <c r="FR42" s="31"/>
      <c r="FS42" s="31"/>
      <c r="FT42" s="31"/>
      <c r="FU42" s="31"/>
      <c r="FV42" s="31"/>
      <c r="FW42" s="31"/>
      <c r="FX42" s="31"/>
      <c r="FY42" s="31"/>
      <c r="FZ42" s="31"/>
      <c r="GA42" s="31"/>
      <c r="GB42" s="31"/>
      <c r="GC42" s="31"/>
      <c r="GD42" s="31"/>
      <c r="GE42" s="31"/>
      <c r="GF42" s="31"/>
      <c r="GG42" s="31"/>
      <c r="GH42" s="31"/>
      <c r="GI42" s="31"/>
      <c r="GJ42" s="31"/>
      <c r="GK42" s="31"/>
      <c r="GL42" s="31"/>
      <c r="GM42" s="31"/>
      <c r="GN42" s="31"/>
      <c r="GO42" s="31"/>
      <c r="GP42" s="31"/>
      <c r="GQ42" s="31"/>
      <c r="GR42" s="31"/>
      <c r="GS42" s="31"/>
      <c r="GT42" s="31"/>
      <c r="GU42" s="31"/>
      <c r="GV42" s="31"/>
      <c r="GW42" s="31"/>
      <c r="GX42" s="31"/>
      <c r="GY42" s="31"/>
      <c r="GZ42" s="31"/>
      <c r="HA42" s="31"/>
      <c r="HB42" s="31"/>
      <c r="HC42" s="31"/>
      <c r="HD42" s="31"/>
      <c r="HE42" s="31"/>
      <c r="HF42" s="31"/>
      <c r="HG42" s="31"/>
      <c r="HH42" s="31"/>
      <c r="HI42" s="31"/>
      <c r="HJ42" s="31"/>
      <c r="HK42" s="31"/>
      <c r="HL42" s="31"/>
      <c r="HM42" s="31"/>
      <c r="HN42" s="31"/>
      <c r="HO42" s="31"/>
      <c r="HP42" s="31"/>
      <c r="HQ42" s="31"/>
      <c r="HR42" s="31"/>
      <c r="HS42" s="31"/>
      <c r="HT42" s="31"/>
      <c r="HU42" s="31"/>
      <c r="HV42" s="31"/>
      <c r="HW42" s="31"/>
      <c r="HX42" s="31"/>
      <c r="HY42" s="31"/>
      <c r="HZ42" s="31"/>
    </row>
    <row r="43" spans="1:235" ht="14.25" customHeight="1" x14ac:dyDescent="0.35">
      <c r="A43" s="55" t="s">
        <v>180</v>
      </c>
      <c r="B43" s="46"/>
      <c r="C43" s="46"/>
      <c r="D43" s="46"/>
      <c r="E43" s="46"/>
      <c r="F43" s="46"/>
      <c r="G43" s="46"/>
      <c r="H43" s="46"/>
      <c r="I43" s="46"/>
      <c r="J43" s="46">
        <f>1336216+3000000</f>
        <v>4336216</v>
      </c>
      <c r="K43" s="46"/>
      <c r="L43" s="46"/>
      <c r="M43" s="46"/>
      <c r="N43" s="46"/>
      <c r="O43" s="46"/>
      <c r="P43" s="47"/>
      <c r="Q43" s="47"/>
      <c r="R43" s="47"/>
      <c r="S43" s="27"/>
      <c r="T43" s="76"/>
      <c r="U43" s="27"/>
      <c r="V43" s="31"/>
      <c r="W43" s="31"/>
      <c r="X43" s="31"/>
      <c r="Y43" s="31"/>
      <c r="Z43" s="78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  <c r="BO43" s="31"/>
      <c r="BP43" s="31"/>
      <c r="BQ43" s="31"/>
      <c r="BR43" s="31"/>
      <c r="BS43" s="31"/>
      <c r="BT43" s="31"/>
      <c r="BU43" s="31"/>
      <c r="BV43" s="31"/>
      <c r="BW43" s="31"/>
      <c r="BX43" s="31"/>
      <c r="BY43" s="31"/>
      <c r="BZ43" s="31"/>
      <c r="CA43" s="31"/>
      <c r="CB43" s="31"/>
      <c r="CC43" s="31"/>
      <c r="CD43" s="31"/>
      <c r="CE43" s="31"/>
      <c r="CF43" s="31"/>
      <c r="CG43" s="31"/>
      <c r="CH43" s="31"/>
      <c r="CI43" s="31"/>
      <c r="CJ43" s="31"/>
      <c r="CK43" s="31"/>
      <c r="CL43" s="31"/>
      <c r="CM43" s="31"/>
      <c r="CN43" s="31"/>
      <c r="CO43" s="31"/>
      <c r="CP43" s="31"/>
      <c r="CQ43" s="31"/>
      <c r="CR43" s="31"/>
      <c r="CS43" s="31"/>
      <c r="CT43" s="31"/>
      <c r="CU43" s="31"/>
      <c r="CV43" s="31"/>
      <c r="CW43" s="31"/>
      <c r="CX43" s="31"/>
      <c r="CY43" s="31"/>
      <c r="CZ43" s="31"/>
      <c r="DA43" s="31"/>
      <c r="DB43" s="31"/>
      <c r="DC43" s="31"/>
      <c r="DD43" s="31"/>
      <c r="DE43" s="31"/>
      <c r="DF43" s="31"/>
      <c r="DG43" s="31"/>
      <c r="DH43" s="31"/>
      <c r="DI43" s="31"/>
      <c r="DJ43" s="31"/>
      <c r="DK43" s="31"/>
      <c r="DL43" s="31"/>
      <c r="DM43" s="31"/>
      <c r="DN43" s="31"/>
      <c r="DO43" s="31"/>
      <c r="DP43" s="31"/>
      <c r="DQ43" s="31"/>
      <c r="DR43" s="31"/>
      <c r="DS43" s="31"/>
      <c r="DT43" s="31"/>
      <c r="DU43" s="31"/>
      <c r="DV43" s="31"/>
      <c r="DW43" s="31"/>
      <c r="DX43" s="31"/>
      <c r="DY43" s="31"/>
      <c r="DZ43" s="31"/>
      <c r="EA43" s="31"/>
      <c r="EB43" s="31"/>
      <c r="EC43" s="31"/>
      <c r="ED43" s="31"/>
      <c r="EE43" s="31"/>
      <c r="EF43" s="31"/>
      <c r="EG43" s="31"/>
      <c r="EH43" s="31"/>
      <c r="EI43" s="31"/>
      <c r="EJ43" s="31"/>
      <c r="EK43" s="31"/>
      <c r="EL43" s="31"/>
      <c r="EM43" s="31"/>
      <c r="EN43" s="31"/>
      <c r="EO43" s="31"/>
      <c r="EP43" s="31"/>
      <c r="EQ43" s="31"/>
      <c r="ER43" s="31"/>
      <c r="ES43" s="31"/>
      <c r="ET43" s="31"/>
      <c r="EU43" s="31"/>
      <c r="EV43" s="31"/>
      <c r="EW43" s="31"/>
      <c r="EX43" s="31"/>
      <c r="EY43" s="31"/>
      <c r="EZ43" s="31"/>
      <c r="FA43" s="31"/>
      <c r="FB43" s="31"/>
      <c r="FC43" s="31"/>
      <c r="FD43" s="31"/>
      <c r="FE43" s="31"/>
      <c r="FF43" s="31"/>
      <c r="FG43" s="31"/>
      <c r="FH43" s="31"/>
      <c r="FI43" s="31"/>
      <c r="FJ43" s="31"/>
      <c r="FK43" s="31"/>
      <c r="FL43" s="31"/>
      <c r="FM43" s="31"/>
      <c r="FN43" s="31"/>
      <c r="FO43" s="31"/>
      <c r="FP43" s="31"/>
      <c r="FQ43" s="31"/>
      <c r="FR43" s="31"/>
      <c r="FS43" s="31"/>
      <c r="FT43" s="31"/>
      <c r="FU43" s="31"/>
      <c r="FV43" s="31"/>
      <c r="FW43" s="31"/>
      <c r="FX43" s="31"/>
      <c r="FY43" s="31"/>
      <c r="FZ43" s="31"/>
      <c r="GA43" s="31"/>
      <c r="GB43" s="31"/>
      <c r="GC43" s="31"/>
      <c r="GD43" s="31"/>
      <c r="GE43" s="31"/>
      <c r="GF43" s="31"/>
      <c r="GG43" s="31"/>
      <c r="GH43" s="31"/>
      <c r="GI43" s="31"/>
      <c r="GJ43" s="31"/>
      <c r="GK43" s="31"/>
      <c r="GL43" s="31"/>
      <c r="GM43" s="31"/>
      <c r="GN43" s="31"/>
      <c r="GO43" s="31"/>
      <c r="GP43" s="31"/>
      <c r="GQ43" s="31"/>
      <c r="GR43" s="31"/>
      <c r="GS43" s="31"/>
      <c r="GT43" s="31"/>
      <c r="GU43" s="31"/>
      <c r="GV43" s="31"/>
      <c r="GW43" s="31"/>
      <c r="GX43" s="31"/>
      <c r="GY43" s="31"/>
      <c r="GZ43" s="31"/>
      <c r="HA43" s="31"/>
      <c r="HB43" s="31"/>
      <c r="HC43" s="31"/>
      <c r="HD43" s="31"/>
      <c r="HE43" s="31"/>
      <c r="HF43" s="31"/>
      <c r="HG43" s="31"/>
      <c r="HH43" s="31"/>
      <c r="HI43" s="31"/>
      <c r="HJ43" s="31"/>
      <c r="HK43" s="31"/>
      <c r="HL43" s="31"/>
      <c r="HM43" s="31"/>
      <c r="HN43" s="31"/>
      <c r="HO43" s="31"/>
      <c r="HP43" s="31"/>
      <c r="HQ43" s="31"/>
      <c r="HR43" s="31"/>
      <c r="HS43" s="31"/>
      <c r="HT43" s="31"/>
      <c r="HU43" s="31"/>
      <c r="HV43" s="31"/>
      <c r="HW43" s="31"/>
      <c r="HX43" s="31"/>
      <c r="HY43" s="31"/>
      <c r="HZ43" s="31"/>
    </row>
    <row r="44" spans="1:235" ht="14.25" customHeight="1" x14ac:dyDescent="0.35">
      <c r="A44" s="55" t="s">
        <v>181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7"/>
      <c r="Q44" s="47"/>
      <c r="R44" s="47"/>
      <c r="S44" s="27"/>
      <c r="T44" s="76"/>
      <c r="U44" s="27"/>
      <c r="V44" s="31"/>
      <c r="W44" s="31"/>
      <c r="X44" s="31"/>
      <c r="Y44" s="31"/>
      <c r="Z44" s="78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  <c r="BQ44" s="31"/>
      <c r="BR44" s="31"/>
      <c r="BS44" s="31"/>
      <c r="BT44" s="31"/>
      <c r="BU44" s="31"/>
      <c r="BV44" s="31"/>
      <c r="BW44" s="31"/>
      <c r="BX44" s="31"/>
      <c r="BY44" s="31"/>
      <c r="BZ44" s="31"/>
      <c r="CA44" s="31"/>
      <c r="CB44" s="31"/>
      <c r="CC44" s="31"/>
      <c r="CD44" s="31"/>
      <c r="CE44" s="31"/>
      <c r="CF44" s="31"/>
      <c r="CG44" s="31"/>
      <c r="CH44" s="31"/>
      <c r="CI44" s="31"/>
      <c r="CJ44" s="31"/>
      <c r="CK44" s="31"/>
      <c r="CL44" s="31"/>
      <c r="CM44" s="31"/>
      <c r="CN44" s="31"/>
      <c r="CO44" s="31"/>
      <c r="CP44" s="31"/>
      <c r="CQ44" s="31"/>
      <c r="CR44" s="31"/>
      <c r="CS44" s="31"/>
      <c r="CT44" s="31"/>
      <c r="CU44" s="31"/>
      <c r="CV44" s="31"/>
      <c r="CW44" s="31"/>
      <c r="CX44" s="31"/>
      <c r="CY44" s="31"/>
      <c r="CZ44" s="31"/>
      <c r="DA44" s="31"/>
      <c r="DB44" s="31"/>
      <c r="DC44" s="31"/>
      <c r="DD44" s="31"/>
      <c r="DE44" s="31"/>
      <c r="DF44" s="31"/>
      <c r="DG44" s="31"/>
      <c r="DH44" s="31"/>
      <c r="DI44" s="31"/>
      <c r="DJ44" s="31"/>
      <c r="DK44" s="31"/>
      <c r="DL44" s="31"/>
      <c r="DM44" s="31"/>
      <c r="DN44" s="31"/>
      <c r="DO44" s="31"/>
      <c r="DP44" s="31"/>
      <c r="DQ44" s="31"/>
      <c r="DR44" s="31"/>
      <c r="DS44" s="31"/>
      <c r="DT44" s="31"/>
      <c r="DU44" s="31"/>
      <c r="DV44" s="31"/>
      <c r="DW44" s="31"/>
      <c r="DX44" s="31"/>
      <c r="DY44" s="31"/>
      <c r="DZ44" s="31"/>
      <c r="EA44" s="31"/>
      <c r="EB44" s="31"/>
      <c r="EC44" s="31"/>
      <c r="ED44" s="31"/>
      <c r="EE44" s="31"/>
      <c r="EF44" s="31"/>
      <c r="EG44" s="31"/>
      <c r="EH44" s="31"/>
      <c r="EI44" s="31"/>
      <c r="EJ44" s="31"/>
      <c r="EK44" s="31"/>
      <c r="EL44" s="31"/>
      <c r="EM44" s="31"/>
      <c r="EN44" s="31"/>
      <c r="EO44" s="31"/>
      <c r="EP44" s="31"/>
      <c r="EQ44" s="31"/>
      <c r="ER44" s="31"/>
      <c r="ES44" s="31"/>
      <c r="ET44" s="31"/>
      <c r="EU44" s="31"/>
      <c r="EV44" s="31"/>
      <c r="EW44" s="31"/>
      <c r="EX44" s="31"/>
      <c r="EY44" s="31"/>
      <c r="EZ44" s="31"/>
      <c r="FA44" s="31"/>
      <c r="FB44" s="31"/>
      <c r="FC44" s="31"/>
      <c r="FD44" s="31"/>
      <c r="FE44" s="31"/>
      <c r="FF44" s="31"/>
      <c r="FG44" s="31"/>
      <c r="FH44" s="31"/>
      <c r="FI44" s="31"/>
      <c r="FJ44" s="31"/>
      <c r="FK44" s="31"/>
      <c r="FL44" s="31"/>
      <c r="FM44" s="31"/>
      <c r="FN44" s="31"/>
      <c r="FO44" s="31"/>
      <c r="FP44" s="31"/>
      <c r="FQ44" s="31"/>
      <c r="FR44" s="31"/>
      <c r="FS44" s="31"/>
      <c r="FT44" s="31"/>
      <c r="FU44" s="31"/>
      <c r="FV44" s="31"/>
      <c r="FW44" s="31"/>
      <c r="FX44" s="31"/>
      <c r="FY44" s="31"/>
      <c r="FZ44" s="31"/>
      <c r="GA44" s="31"/>
      <c r="GB44" s="31"/>
      <c r="GC44" s="31"/>
      <c r="GD44" s="31"/>
      <c r="GE44" s="31"/>
      <c r="GF44" s="31"/>
      <c r="GG44" s="31"/>
      <c r="GH44" s="31"/>
      <c r="GI44" s="31"/>
      <c r="GJ44" s="31"/>
      <c r="GK44" s="31"/>
      <c r="GL44" s="31"/>
      <c r="GM44" s="31"/>
      <c r="GN44" s="31"/>
      <c r="GO44" s="31"/>
      <c r="GP44" s="31"/>
      <c r="GQ44" s="31"/>
      <c r="GR44" s="31"/>
      <c r="GS44" s="31"/>
      <c r="GT44" s="31"/>
      <c r="GU44" s="31"/>
      <c r="GV44" s="31"/>
      <c r="GW44" s="31"/>
      <c r="GX44" s="31"/>
      <c r="GY44" s="31"/>
      <c r="GZ44" s="31"/>
      <c r="HA44" s="31"/>
      <c r="HB44" s="31"/>
      <c r="HC44" s="31"/>
      <c r="HD44" s="31"/>
      <c r="HE44" s="31"/>
      <c r="HF44" s="31"/>
      <c r="HG44" s="31"/>
      <c r="HH44" s="31"/>
      <c r="HI44" s="31"/>
      <c r="HJ44" s="31"/>
      <c r="HK44" s="31"/>
      <c r="HL44" s="31"/>
      <c r="HM44" s="31"/>
      <c r="HN44" s="31"/>
      <c r="HO44" s="31"/>
      <c r="HP44" s="31"/>
      <c r="HQ44" s="31"/>
      <c r="HR44" s="31"/>
      <c r="HS44" s="31"/>
      <c r="HT44" s="31"/>
      <c r="HU44" s="31"/>
      <c r="HV44" s="31"/>
      <c r="HW44" s="31"/>
      <c r="HX44" s="31"/>
      <c r="HY44" s="31"/>
      <c r="HZ44" s="31"/>
    </row>
    <row r="45" spans="1:235" ht="14.25" customHeight="1" x14ac:dyDescent="0.35">
      <c r="A45" s="55" t="s">
        <v>153</v>
      </c>
      <c r="B45" s="46"/>
      <c r="C45" s="46"/>
      <c r="D45" s="46"/>
      <c r="E45" s="46"/>
      <c r="F45" s="46">
        <v>1600000</v>
      </c>
      <c r="G45" s="46">
        <v>1600000</v>
      </c>
      <c r="H45" s="46">
        <v>2500000</v>
      </c>
      <c r="I45" s="46">
        <v>2500000</v>
      </c>
      <c r="J45" s="46">
        <v>2500000</v>
      </c>
      <c r="K45" s="46">
        <v>2500000</v>
      </c>
      <c r="L45" s="46">
        <v>2500000</v>
      </c>
      <c r="M45" s="46">
        <v>2500000</v>
      </c>
      <c r="N45" s="46">
        <v>2500000</v>
      </c>
      <c r="O45" s="46">
        <v>2500000</v>
      </c>
      <c r="P45" s="47"/>
      <c r="Q45" s="47"/>
      <c r="R45" s="47"/>
      <c r="S45" s="27"/>
      <c r="T45" s="30"/>
      <c r="U45" s="27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  <c r="CI45" s="31"/>
      <c r="CJ45" s="31"/>
      <c r="CK45" s="31"/>
      <c r="CL45" s="31"/>
      <c r="CM45" s="31"/>
      <c r="CN45" s="31"/>
      <c r="CO45" s="31"/>
      <c r="CP45" s="31"/>
      <c r="CQ45" s="31"/>
      <c r="CR45" s="31"/>
      <c r="CS45" s="31"/>
      <c r="CT45" s="31"/>
      <c r="CU45" s="31"/>
      <c r="CV45" s="31"/>
      <c r="CW45" s="31"/>
      <c r="CX45" s="31"/>
      <c r="CY45" s="31"/>
      <c r="CZ45" s="31"/>
      <c r="DA45" s="31"/>
      <c r="DB45" s="31"/>
      <c r="DC45" s="31"/>
      <c r="DD45" s="31"/>
      <c r="DE45" s="31"/>
      <c r="DF45" s="31"/>
      <c r="DG45" s="31"/>
      <c r="DH45" s="31"/>
      <c r="DI45" s="31"/>
      <c r="DJ45" s="31"/>
      <c r="DK45" s="31"/>
      <c r="DL45" s="31"/>
      <c r="DM45" s="31"/>
      <c r="DN45" s="31"/>
      <c r="DO45" s="31"/>
      <c r="DP45" s="31"/>
      <c r="DQ45" s="31"/>
      <c r="DR45" s="31"/>
      <c r="DS45" s="31"/>
      <c r="DT45" s="31"/>
      <c r="DU45" s="31"/>
      <c r="DV45" s="31"/>
      <c r="DW45" s="31"/>
      <c r="DX45" s="31"/>
      <c r="DY45" s="31"/>
      <c r="DZ45" s="31"/>
      <c r="EA45" s="31"/>
      <c r="EB45" s="31"/>
      <c r="EC45" s="31"/>
      <c r="ED45" s="31"/>
      <c r="EE45" s="31"/>
      <c r="EF45" s="31"/>
      <c r="EG45" s="31"/>
      <c r="EH45" s="31"/>
      <c r="EI45" s="31"/>
      <c r="EJ45" s="31"/>
      <c r="EK45" s="31"/>
      <c r="EL45" s="31"/>
      <c r="EM45" s="31"/>
      <c r="EN45" s="31"/>
      <c r="EO45" s="31"/>
      <c r="EP45" s="31"/>
      <c r="EQ45" s="31"/>
      <c r="ER45" s="31"/>
      <c r="ES45" s="31"/>
      <c r="ET45" s="31"/>
      <c r="EU45" s="31"/>
      <c r="EV45" s="31"/>
      <c r="EW45" s="31"/>
      <c r="EX45" s="31"/>
      <c r="EY45" s="31"/>
      <c r="EZ45" s="31"/>
      <c r="FA45" s="31"/>
      <c r="FB45" s="31"/>
      <c r="FC45" s="31"/>
      <c r="FD45" s="31"/>
      <c r="FE45" s="31"/>
      <c r="FF45" s="31"/>
      <c r="FG45" s="31"/>
      <c r="FH45" s="31"/>
      <c r="FI45" s="31"/>
      <c r="FJ45" s="31"/>
      <c r="FK45" s="31"/>
      <c r="FL45" s="31"/>
      <c r="FM45" s="31"/>
      <c r="FN45" s="31"/>
      <c r="FO45" s="31"/>
      <c r="FP45" s="31"/>
      <c r="FQ45" s="31"/>
      <c r="FR45" s="31"/>
      <c r="FS45" s="31"/>
      <c r="FT45" s="31"/>
      <c r="FU45" s="31"/>
      <c r="FV45" s="31"/>
      <c r="FW45" s="31"/>
      <c r="FX45" s="31"/>
      <c r="FY45" s="31"/>
      <c r="FZ45" s="31"/>
      <c r="GA45" s="31"/>
      <c r="GB45" s="31"/>
      <c r="GC45" s="31"/>
      <c r="GD45" s="31"/>
      <c r="GE45" s="31"/>
      <c r="GF45" s="31"/>
      <c r="GG45" s="31"/>
      <c r="GH45" s="31"/>
      <c r="GI45" s="31"/>
      <c r="GJ45" s="31"/>
      <c r="GK45" s="31"/>
      <c r="GL45" s="31"/>
      <c r="GM45" s="31"/>
      <c r="GN45" s="31"/>
      <c r="GO45" s="31"/>
      <c r="GP45" s="31"/>
      <c r="GQ45" s="31"/>
      <c r="GR45" s="31"/>
      <c r="GS45" s="31"/>
      <c r="GT45" s="31"/>
      <c r="GU45" s="31"/>
      <c r="GV45" s="31"/>
      <c r="GW45" s="31"/>
      <c r="GX45" s="31"/>
      <c r="GY45" s="31"/>
      <c r="GZ45" s="31"/>
      <c r="HA45" s="31"/>
      <c r="HB45" s="31"/>
      <c r="HC45" s="31"/>
      <c r="HD45" s="31"/>
      <c r="HE45" s="31"/>
      <c r="HF45" s="31"/>
      <c r="HG45" s="31"/>
      <c r="HH45" s="31"/>
      <c r="HI45" s="31"/>
      <c r="HJ45" s="31"/>
      <c r="HK45" s="31"/>
      <c r="HL45" s="31"/>
      <c r="HM45" s="31"/>
      <c r="HN45" s="31"/>
      <c r="HO45" s="31"/>
      <c r="HP45" s="31"/>
      <c r="HQ45" s="31"/>
      <c r="HR45" s="31"/>
      <c r="HS45" s="31"/>
      <c r="HT45" s="31"/>
      <c r="HU45" s="31"/>
      <c r="HV45" s="31"/>
      <c r="HW45" s="31"/>
      <c r="HX45" s="31"/>
      <c r="HY45" s="31"/>
      <c r="HZ45" s="31"/>
    </row>
    <row r="46" spans="1:235" ht="14.25" customHeight="1" x14ac:dyDescent="0.35">
      <c r="A46" s="55" t="s">
        <v>178</v>
      </c>
      <c r="B46" s="46"/>
      <c r="C46" s="46"/>
      <c r="D46" s="46"/>
      <c r="E46" s="46"/>
      <c r="F46" s="46"/>
      <c r="G46" s="46">
        <v>1600000</v>
      </c>
      <c r="H46" s="46">
        <v>1600000</v>
      </c>
      <c r="I46" s="46">
        <v>1600000</v>
      </c>
      <c r="J46" s="46">
        <v>1600000</v>
      </c>
      <c r="K46" s="46">
        <v>1600000</v>
      </c>
      <c r="L46" s="46">
        <v>1600000</v>
      </c>
      <c r="M46" s="46">
        <v>1600000</v>
      </c>
      <c r="N46" s="46">
        <v>1600000</v>
      </c>
      <c r="O46" s="46">
        <v>1600000</v>
      </c>
      <c r="P46" s="47"/>
      <c r="Q46" s="47"/>
      <c r="R46" s="47"/>
      <c r="S46" s="27"/>
      <c r="T46" s="30"/>
      <c r="U46" s="27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  <c r="BR46" s="31"/>
      <c r="BS46" s="31"/>
      <c r="BT46" s="31"/>
      <c r="BU46" s="31"/>
      <c r="BV46" s="31"/>
      <c r="BW46" s="31"/>
      <c r="BX46" s="31"/>
      <c r="BY46" s="31"/>
      <c r="BZ46" s="31"/>
      <c r="CA46" s="31"/>
      <c r="CB46" s="31"/>
      <c r="CC46" s="31"/>
      <c r="CD46" s="31"/>
      <c r="CE46" s="31"/>
      <c r="CF46" s="31"/>
      <c r="CG46" s="31"/>
      <c r="CH46" s="31"/>
      <c r="CI46" s="31"/>
      <c r="CJ46" s="31"/>
      <c r="CK46" s="31"/>
      <c r="CL46" s="31"/>
      <c r="CM46" s="31"/>
      <c r="CN46" s="31"/>
      <c r="CO46" s="31"/>
      <c r="CP46" s="31"/>
      <c r="CQ46" s="31"/>
      <c r="CR46" s="31"/>
      <c r="CS46" s="31"/>
      <c r="CT46" s="31"/>
      <c r="CU46" s="31"/>
      <c r="CV46" s="31"/>
      <c r="CW46" s="31"/>
      <c r="CX46" s="31"/>
      <c r="CY46" s="31"/>
      <c r="CZ46" s="31"/>
      <c r="DA46" s="31"/>
      <c r="DB46" s="31"/>
      <c r="DC46" s="31"/>
      <c r="DD46" s="31"/>
      <c r="DE46" s="31"/>
      <c r="DF46" s="31"/>
      <c r="DG46" s="31"/>
      <c r="DH46" s="31"/>
      <c r="DI46" s="31"/>
      <c r="DJ46" s="31"/>
      <c r="DK46" s="31"/>
      <c r="DL46" s="31"/>
      <c r="DM46" s="31"/>
      <c r="DN46" s="31"/>
      <c r="DO46" s="31"/>
      <c r="DP46" s="31"/>
      <c r="DQ46" s="31"/>
      <c r="DR46" s="31"/>
      <c r="DS46" s="31"/>
      <c r="DT46" s="31"/>
      <c r="DU46" s="31"/>
      <c r="DV46" s="31"/>
      <c r="DW46" s="31"/>
      <c r="DX46" s="31"/>
      <c r="DY46" s="31"/>
      <c r="DZ46" s="31"/>
      <c r="EA46" s="31"/>
      <c r="EB46" s="31"/>
      <c r="EC46" s="31"/>
      <c r="ED46" s="31"/>
      <c r="EE46" s="31"/>
      <c r="EF46" s="31"/>
      <c r="EG46" s="31"/>
      <c r="EH46" s="31"/>
      <c r="EI46" s="31"/>
      <c r="EJ46" s="31"/>
      <c r="EK46" s="31"/>
      <c r="EL46" s="31"/>
      <c r="EM46" s="31"/>
      <c r="EN46" s="31"/>
      <c r="EO46" s="31"/>
      <c r="EP46" s="31"/>
      <c r="EQ46" s="31"/>
      <c r="ER46" s="31"/>
      <c r="ES46" s="31"/>
      <c r="ET46" s="31"/>
      <c r="EU46" s="31"/>
      <c r="EV46" s="31"/>
      <c r="EW46" s="31"/>
      <c r="EX46" s="31"/>
      <c r="EY46" s="31"/>
      <c r="EZ46" s="31"/>
      <c r="FA46" s="31"/>
      <c r="FB46" s="31"/>
      <c r="FC46" s="31"/>
      <c r="FD46" s="31"/>
      <c r="FE46" s="31"/>
      <c r="FF46" s="31"/>
      <c r="FG46" s="31"/>
      <c r="FH46" s="31"/>
      <c r="FI46" s="31"/>
      <c r="FJ46" s="31"/>
      <c r="FK46" s="31"/>
      <c r="FL46" s="31"/>
      <c r="FM46" s="31"/>
      <c r="FN46" s="31"/>
      <c r="FO46" s="31"/>
      <c r="FP46" s="31"/>
      <c r="FQ46" s="31"/>
      <c r="FR46" s="31"/>
      <c r="FS46" s="31"/>
      <c r="FT46" s="31"/>
      <c r="FU46" s="31"/>
      <c r="FV46" s="31"/>
      <c r="FW46" s="31"/>
      <c r="FX46" s="31"/>
      <c r="FY46" s="31"/>
      <c r="FZ46" s="31"/>
      <c r="GA46" s="31"/>
      <c r="GB46" s="31"/>
      <c r="GC46" s="31"/>
      <c r="GD46" s="31"/>
      <c r="GE46" s="31"/>
      <c r="GF46" s="31"/>
      <c r="GG46" s="31"/>
      <c r="GH46" s="31"/>
      <c r="GI46" s="31"/>
      <c r="GJ46" s="31"/>
      <c r="GK46" s="31"/>
      <c r="GL46" s="31"/>
      <c r="GM46" s="31"/>
      <c r="GN46" s="31"/>
      <c r="GO46" s="31"/>
      <c r="GP46" s="31"/>
      <c r="GQ46" s="31"/>
      <c r="GR46" s="31"/>
      <c r="GS46" s="31"/>
      <c r="GT46" s="31"/>
      <c r="GU46" s="31"/>
      <c r="GV46" s="31"/>
      <c r="GW46" s="31"/>
      <c r="GX46" s="31"/>
      <c r="GY46" s="31"/>
      <c r="GZ46" s="31"/>
      <c r="HA46" s="31"/>
      <c r="HB46" s="31"/>
      <c r="HC46" s="31"/>
      <c r="HD46" s="31"/>
      <c r="HE46" s="31"/>
      <c r="HF46" s="31"/>
      <c r="HG46" s="31"/>
      <c r="HH46" s="31"/>
      <c r="HI46" s="31"/>
      <c r="HJ46" s="31"/>
      <c r="HK46" s="31"/>
      <c r="HL46" s="31"/>
      <c r="HM46" s="31"/>
      <c r="HN46" s="31"/>
      <c r="HO46" s="31"/>
      <c r="HP46" s="31"/>
      <c r="HQ46" s="31"/>
      <c r="HR46" s="31"/>
      <c r="HS46" s="31"/>
      <c r="HT46" s="31"/>
      <c r="HU46" s="31"/>
      <c r="HV46" s="31"/>
      <c r="HW46" s="31"/>
      <c r="HX46" s="31"/>
      <c r="HY46" s="31"/>
      <c r="HZ46" s="31"/>
    </row>
    <row r="47" spans="1:235" ht="14.25" customHeight="1" x14ac:dyDescent="0.35">
      <c r="A47" s="55" t="s">
        <v>179</v>
      </c>
      <c r="B47" s="46"/>
      <c r="C47" s="46"/>
      <c r="D47" s="46"/>
      <c r="E47" s="46"/>
      <c r="F47" s="46"/>
      <c r="G47" s="46">
        <v>1600000</v>
      </c>
      <c r="H47" s="46">
        <v>1600000</v>
      </c>
      <c r="I47" s="46">
        <v>1600000</v>
      </c>
      <c r="J47" s="46">
        <v>1600000</v>
      </c>
      <c r="K47" s="46">
        <v>1600000</v>
      </c>
      <c r="L47" s="46">
        <v>1600000</v>
      </c>
      <c r="M47" s="46">
        <v>1600000</v>
      </c>
      <c r="N47" s="46">
        <v>1600000</v>
      </c>
      <c r="O47" s="46">
        <v>1600000</v>
      </c>
      <c r="P47" s="47"/>
      <c r="Q47" s="47"/>
      <c r="R47" s="47"/>
      <c r="S47" s="27"/>
      <c r="T47" s="30"/>
      <c r="U47" s="27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  <c r="BS47" s="31"/>
      <c r="BT47" s="31"/>
      <c r="BU47" s="31"/>
      <c r="BV47" s="31"/>
      <c r="BW47" s="31"/>
      <c r="BX47" s="31"/>
      <c r="BY47" s="31"/>
      <c r="BZ47" s="31"/>
      <c r="CA47" s="31"/>
      <c r="CB47" s="31"/>
      <c r="CC47" s="31"/>
      <c r="CD47" s="31"/>
      <c r="CE47" s="31"/>
      <c r="CF47" s="31"/>
      <c r="CG47" s="31"/>
      <c r="CH47" s="31"/>
      <c r="CI47" s="31"/>
      <c r="CJ47" s="31"/>
      <c r="CK47" s="31"/>
      <c r="CL47" s="31"/>
      <c r="CM47" s="31"/>
      <c r="CN47" s="31"/>
      <c r="CO47" s="31"/>
      <c r="CP47" s="31"/>
      <c r="CQ47" s="31"/>
      <c r="CR47" s="31"/>
      <c r="CS47" s="31"/>
      <c r="CT47" s="31"/>
      <c r="CU47" s="31"/>
      <c r="CV47" s="31"/>
      <c r="CW47" s="31"/>
      <c r="CX47" s="31"/>
      <c r="CY47" s="31"/>
      <c r="CZ47" s="31"/>
      <c r="DA47" s="31"/>
      <c r="DB47" s="31"/>
      <c r="DC47" s="31"/>
      <c r="DD47" s="31"/>
      <c r="DE47" s="31"/>
      <c r="DF47" s="31"/>
      <c r="DG47" s="31"/>
      <c r="DH47" s="31"/>
      <c r="DI47" s="31"/>
      <c r="DJ47" s="31"/>
      <c r="DK47" s="31"/>
      <c r="DL47" s="31"/>
      <c r="DM47" s="31"/>
      <c r="DN47" s="31"/>
      <c r="DO47" s="31"/>
      <c r="DP47" s="31"/>
      <c r="DQ47" s="31"/>
      <c r="DR47" s="31"/>
      <c r="DS47" s="31"/>
      <c r="DT47" s="31"/>
      <c r="DU47" s="31"/>
      <c r="DV47" s="31"/>
      <c r="DW47" s="31"/>
      <c r="DX47" s="31"/>
      <c r="DY47" s="31"/>
      <c r="DZ47" s="31"/>
      <c r="EA47" s="31"/>
      <c r="EB47" s="31"/>
      <c r="EC47" s="31"/>
      <c r="ED47" s="31"/>
      <c r="EE47" s="31"/>
      <c r="EF47" s="31"/>
      <c r="EG47" s="31"/>
      <c r="EH47" s="31"/>
      <c r="EI47" s="31"/>
      <c r="EJ47" s="31"/>
      <c r="EK47" s="31"/>
      <c r="EL47" s="31"/>
      <c r="EM47" s="31"/>
      <c r="EN47" s="31"/>
      <c r="EO47" s="31"/>
      <c r="EP47" s="31"/>
      <c r="EQ47" s="31"/>
      <c r="ER47" s="31"/>
      <c r="ES47" s="31"/>
      <c r="ET47" s="31"/>
      <c r="EU47" s="31"/>
      <c r="EV47" s="31"/>
      <c r="EW47" s="31"/>
      <c r="EX47" s="31"/>
      <c r="EY47" s="31"/>
      <c r="EZ47" s="31"/>
      <c r="FA47" s="31"/>
      <c r="FB47" s="31"/>
      <c r="FC47" s="31"/>
      <c r="FD47" s="31"/>
      <c r="FE47" s="31"/>
      <c r="FF47" s="31"/>
      <c r="FG47" s="31"/>
      <c r="FH47" s="31"/>
      <c r="FI47" s="31"/>
      <c r="FJ47" s="31"/>
      <c r="FK47" s="31"/>
      <c r="FL47" s="31"/>
      <c r="FM47" s="31"/>
      <c r="FN47" s="31"/>
      <c r="FO47" s="31"/>
      <c r="FP47" s="31"/>
      <c r="FQ47" s="31"/>
      <c r="FR47" s="31"/>
      <c r="FS47" s="31"/>
      <c r="FT47" s="31"/>
      <c r="FU47" s="31"/>
      <c r="FV47" s="31"/>
      <c r="FW47" s="31"/>
      <c r="FX47" s="31"/>
      <c r="FY47" s="31"/>
      <c r="FZ47" s="31"/>
      <c r="GA47" s="31"/>
      <c r="GB47" s="31"/>
      <c r="GC47" s="31"/>
      <c r="GD47" s="31"/>
      <c r="GE47" s="31"/>
      <c r="GF47" s="31"/>
      <c r="GG47" s="31"/>
      <c r="GH47" s="31"/>
      <c r="GI47" s="31"/>
      <c r="GJ47" s="31"/>
      <c r="GK47" s="31"/>
      <c r="GL47" s="31"/>
      <c r="GM47" s="31"/>
      <c r="GN47" s="31"/>
      <c r="GO47" s="31"/>
      <c r="GP47" s="31"/>
      <c r="GQ47" s="31"/>
      <c r="GR47" s="31"/>
      <c r="GS47" s="31"/>
      <c r="GT47" s="31"/>
      <c r="GU47" s="31"/>
      <c r="GV47" s="31"/>
      <c r="GW47" s="31"/>
      <c r="GX47" s="31"/>
      <c r="GY47" s="31"/>
      <c r="GZ47" s="31"/>
      <c r="HA47" s="31"/>
      <c r="HB47" s="31"/>
      <c r="HC47" s="31"/>
      <c r="HD47" s="31"/>
      <c r="HE47" s="31"/>
      <c r="HF47" s="31"/>
      <c r="HG47" s="31"/>
      <c r="HH47" s="31"/>
      <c r="HI47" s="31"/>
      <c r="HJ47" s="31"/>
      <c r="HK47" s="31"/>
      <c r="HL47" s="31"/>
      <c r="HM47" s="31"/>
      <c r="HN47" s="31"/>
      <c r="HO47" s="31"/>
      <c r="HP47" s="31"/>
      <c r="HQ47" s="31"/>
      <c r="HR47" s="31"/>
      <c r="HS47" s="31"/>
      <c r="HT47" s="31"/>
      <c r="HU47" s="31"/>
      <c r="HV47" s="31"/>
      <c r="HW47" s="31"/>
      <c r="HX47" s="31"/>
      <c r="HY47" s="31"/>
      <c r="HZ47" s="31"/>
    </row>
    <row r="48" spans="1:235" ht="14.25" customHeight="1" x14ac:dyDescent="0.35">
      <c r="A48" s="55" t="s">
        <v>101</v>
      </c>
      <c r="B48" s="46"/>
      <c r="C48" s="46"/>
      <c r="D48" s="46"/>
      <c r="E48" s="46"/>
      <c r="F48" s="46"/>
      <c r="G48" s="46">
        <v>3300000</v>
      </c>
      <c r="H48" s="46">
        <v>3300000</v>
      </c>
      <c r="I48" s="46">
        <v>3300000</v>
      </c>
      <c r="J48" s="46">
        <v>3300000</v>
      </c>
      <c r="K48" s="46">
        <v>3300000</v>
      </c>
      <c r="L48" s="46">
        <v>3300000</v>
      </c>
      <c r="M48" s="46">
        <v>3300000</v>
      </c>
      <c r="N48" s="46">
        <v>3300000</v>
      </c>
      <c r="O48" s="46">
        <v>3300000</v>
      </c>
      <c r="P48" s="47"/>
      <c r="Q48" s="47"/>
      <c r="R48" s="47"/>
      <c r="S48" s="27"/>
      <c r="T48" s="30"/>
      <c r="U48" s="27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31"/>
      <c r="BR48" s="31"/>
      <c r="BS48" s="31"/>
      <c r="BT48" s="31"/>
      <c r="BU48" s="31"/>
      <c r="BV48" s="31"/>
      <c r="BW48" s="31"/>
      <c r="BX48" s="31"/>
      <c r="BY48" s="31"/>
      <c r="BZ48" s="31"/>
      <c r="CA48" s="31"/>
      <c r="CB48" s="31"/>
      <c r="CC48" s="31"/>
      <c r="CD48" s="31"/>
      <c r="CE48" s="31"/>
      <c r="CF48" s="31"/>
      <c r="CG48" s="31"/>
      <c r="CH48" s="31"/>
      <c r="CI48" s="31"/>
      <c r="CJ48" s="31"/>
      <c r="CK48" s="31"/>
      <c r="CL48" s="31"/>
      <c r="CM48" s="31"/>
      <c r="CN48" s="31"/>
      <c r="CO48" s="31"/>
      <c r="CP48" s="31"/>
      <c r="CQ48" s="31"/>
      <c r="CR48" s="31"/>
      <c r="CS48" s="31"/>
      <c r="CT48" s="31"/>
      <c r="CU48" s="31"/>
      <c r="CV48" s="31"/>
      <c r="CW48" s="31"/>
      <c r="CX48" s="31"/>
      <c r="CY48" s="31"/>
      <c r="CZ48" s="31"/>
      <c r="DA48" s="31"/>
      <c r="DB48" s="31"/>
      <c r="DC48" s="31"/>
      <c r="DD48" s="31"/>
      <c r="DE48" s="31"/>
      <c r="DF48" s="31"/>
      <c r="DG48" s="31"/>
      <c r="DH48" s="31"/>
      <c r="DI48" s="31"/>
      <c r="DJ48" s="31"/>
      <c r="DK48" s="31"/>
      <c r="DL48" s="31"/>
      <c r="DM48" s="31"/>
      <c r="DN48" s="31"/>
      <c r="DO48" s="31"/>
      <c r="DP48" s="31"/>
      <c r="DQ48" s="31"/>
      <c r="DR48" s="31"/>
      <c r="DS48" s="31"/>
      <c r="DT48" s="31"/>
      <c r="DU48" s="31"/>
      <c r="DV48" s="31"/>
      <c r="DW48" s="31"/>
      <c r="DX48" s="31"/>
      <c r="DY48" s="31"/>
      <c r="DZ48" s="31"/>
      <c r="EA48" s="31"/>
      <c r="EB48" s="31"/>
      <c r="EC48" s="31"/>
      <c r="ED48" s="31"/>
      <c r="EE48" s="31"/>
      <c r="EF48" s="31"/>
      <c r="EG48" s="31"/>
      <c r="EH48" s="31"/>
      <c r="EI48" s="31"/>
      <c r="EJ48" s="31"/>
      <c r="EK48" s="31"/>
      <c r="EL48" s="31"/>
      <c r="EM48" s="31"/>
      <c r="EN48" s="31"/>
      <c r="EO48" s="31"/>
      <c r="EP48" s="31"/>
      <c r="EQ48" s="31"/>
      <c r="ER48" s="31"/>
      <c r="ES48" s="31"/>
      <c r="ET48" s="31"/>
      <c r="EU48" s="31"/>
      <c r="EV48" s="31"/>
      <c r="EW48" s="31"/>
      <c r="EX48" s="31"/>
      <c r="EY48" s="31"/>
      <c r="EZ48" s="31"/>
      <c r="FA48" s="31"/>
      <c r="FB48" s="31"/>
      <c r="FC48" s="31"/>
      <c r="FD48" s="31"/>
      <c r="FE48" s="31"/>
      <c r="FF48" s="31"/>
      <c r="FG48" s="31"/>
      <c r="FH48" s="31"/>
      <c r="FI48" s="31"/>
      <c r="FJ48" s="31"/>
      <c r="FK48" s="31"/>
      <c r="FL48" s="31"/>
      <c r="FM48" s="31"/>
      <c r="FN48" s="31"/>
      <c r="FO48" s="31"/>
      <c r="FP48" s="31"/>
      <c r="FQ48" s="31"/>
      <c r="FR48" s="31"/>
      <c r="FS48" s="31"/>
      <c r="FT48" s="31"/>
      <c r="FU48" s="31"/>
      <c r="FV48" s="31"/>
      <c r="FW48" s="31"/>
      <c r="FX48" s="31"/>
      <c r="FY48" s="31"/>
      <c r="FZ48" s="31"/>
      <c r="GA48" s="31"/>
      <c r="GB48" s="31"/>
      <c r="GC48" s="31"/>
      <c r="GD48" s="31"/>
      <c r="GE48" s="31"/>
      <c r="GF48" s="31"/>
      <c r="GG48" s="31"/>
      <c r="GH48" s="31"/>
      <c r="GI48" s="31"/>
      <c r="GJ48" s="31"/>
      <c r="GK48" s="31"/>
      <c r="GL48" s="31"/>
      <c r="GM48" s="31"/>
      <c r="GN48" s="31"/>
      <c r="GO48" s="31"/>
      <c r="GP48" s="31"/>
      <c r="GQ48" s="31"/>
      <c r="GR48" s="31"/>
      <c r="GS48" s="31"/>
      <c r="GT48" s="31"/>
      <c r="GU48" s="31"/>
      <c r="GV48" s="31"/>
      <c r="GW48" s="31"/>
      <c r="GX48" s="31"/>
      <c r="GY48" s="31"/>
      <c r="GZ48" s="31"/>
      <c r="HA48" s="31"/>
      <c r="HB48" s="31"/>
      <c r="HC48" s="31"/>
      <c r="HD48" s="31"/>
      <c r="HE48" s="31"/>
      <c r="HF48" s="31"/>
      <c r="HG48" s="31"/>
      <c r="HH48" s="31"/>
      <c r="HI48" s="31"/>
      <c r="HJ48" s="31"/>
      <c r="HK48" s="31"/>
      <c r="HL48" s="31"/>
      <c r="HM48" s="31"/>
      <c r="HN48" s="31"/>
      <c r="HO48" s="31"/>
      <c r="HP48" s="31"/>
      <c r="HQ48" s="31"/>
      <c r="HR48" s="31"/>
      <c r="HS48" s="31"/>
      <c r="HT48" s="31"/>
      <c r="HU48" s="31"/>
      <c r="HV48" s="31"/>
      <c r="HW48" s="31"/>
      <c r="HX48" s="31"/>
      <c r="HY48" s="31"/>
      <c r="HZ48" s="31"/>
    </row>
    <row r="49" spans="1:234" ht="14.25" customHeight="1" x14ac:dyDescent="0.35">
      <c r="A49" s="55" t="s">
        <v>165</v>
      </c>
      <c r="B49" s="46"/>
      <c r="C49" s="46"/>
      <c r="D49" s="46"/>
      <c r="E49" s="46"/>
      <c r="F49" s="46"/>
      <c r="G49" s="46"/>
      <c r="H49" s="46"/>
      <c r="I49" s="46">
        <v>2238547</v>
      </c>
      <c r="J49" s="46">
        <f t="shared" ref="J49:O49" si="6">5511750/6</f>
        <v>918625</v>
      </c>
      <c r="K49" s="46">
        <f t="shared" si="6"/>
        <v>918625</v>
      </c>
      <c r="L49" s="46">
        <f t="shared" si="6"/>
        <v>918625</v>
      </c>
      <c r="M49" s="46">
        <f t="shared" si="6"/>
        <v>918625</v>
      </c>
      <c r="N49" s="46">
        <f t="shared" si="6"/>
        <v>918625</v>
      </c>
      <c r="O49" s="46">
        <f t="shared" si="6"/>
        <v>918625</v>
      </c>
      <c r="P49" s="47"/>
      <c r="Q49" s="47"/>
      <c r="R49" s="47"/>
      <c r="S49" s="27"/>
      <c r="T49" s="30"/>
      <c r="U49" s="27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  <c r="BQ49" s="31"/>
      <c r="BR49" s="31"/>
      <c r="BS49" s="31"/>
      <c r="BT49" s="31"/>
      <c r="BU49" s="31"/>
      <c r="BV49" s="31"/>
      <c r="BW49" s="31"/>
      <c r="BX49" s="31"/>
      <c r="BY49" s="31"/>
      <c r="BZ49" s="31"/>
      <c r="CA49" s="31"/>
      <c r="CB49" s="31"/>
      <c r="CC49" s="31"/>
      <c r="CD49" s="31"/>
      <c r="CE49" s="31"/>
      <c r="CF49" s="31"/>
      <c r="CG49" s="31"/>
      <c r="CH49" s="31"/>
      <c r="CI49" s="31"/>
      <c r="CJ49" s="31"/>
      <c r="CK49" s="31"/>
      <c r="CL49" s="31"/>
      <c r="CM49" s="31"/>
      <c r="CN49" s="31"/>
      <c r="CO49" s="31"/>
      <c r="CP49" s="31"/>
      <c r="CQ49" s="31"/>
      <c r="CR49" s="31"/>
      <c r="CS49" s="31"/>
      <c r="CT49" s="31"/>
      <c r="CU49" s="31"/>
      <c r="CV49" s="31"/>
      <c r="CW49" s="31"/>
      <c r="CX49" s="31"/>
      <c r="CY49" s="31"/>
      <c r="CZ49" s="31"/>
      <c r="DA49" s="31"/>
      <c r="DB49" s="31"/>
      <c r="DC49" s="31"/>
      <c r="DD49" s="31"/>
      <c r="DE49" s="31"/>
      <c r="DF49" s="31"/>
      <c r="DG49" s="31"/>
      <c r="DH49" s="31"/>
      <c r="DI49" s="31"/>
      <c r="DJ49" s="31"/>
      <c r="DK49" s="31"/>
      <c r="DL49" s="31"/>
      <c r="DM49" s="31"/>
      <c r="DN49" s="31"/>
      <c r="DO49" s="31"/>
      <c r="DP49" s="31"/>
      <c r="DQ49" s="31"/>
      <c r="DR49" s="31"/>
      <c r="DS49" s="31"/>
      <c r="DT49" s="31"/>
      <c r="DU49" s="31"/>
      <c r="DV49" s="31"/>
      <c r="DW49" s="31"/>
      <c r="DX49" s="31"/>
      <c r="DY49" s="31"/>
      <c r="DZ49" s="31"/>
      <c r="EA49" s="31"/>
      <c r="EB49" s="31"/>
      <c r="EC49" s="31"/>
      <c r="ED49" s="31"/>
      <c r="EE49" s="31"/>
      <c r="EF49" s="31"/>
      <c r="EG49" s="31"/>
      <c r="EH49" s="31"/>
      <c r="EI49" s="31"/>
      <c r="EJ49" s="31"/>
      <c r="EK49" s="31"/>
      <c r="EL49" s="31"/>
      <c r="EM49" s="31"/>
      <c r="EN49" s="31"/>
      <c r="EO49" s="31"/>
      <c r="EP49" s="31"/>
      <c r="EQ49" s="31"/>
      <c r="ER49" s="31"/>
      <c r="ES49" s="31"/>
      <c r="ET49" s="31"/>
      <c r="EU49" s="31"/>
      <c r="EV49" s="31"/>
      <c r="EW49" s="31"/>
      <c r="EX49" s="31"/>
      <c r="EY49" s="31"/>
      <c r="EZ49" s="31"/>
      <c r="FA49" s="31"/>
      <c r="FB49" s="31"/>
      <c r="FC49" s="31"/>
      <c r="FD49" s="31"/>
      <c r="FE49" s="31"/>
      <c r="FF49" s="31"/>
      <c r="FG49" s="31"/>
      <c r="FH49" s="31"/>
      <c r="FI49" s="31"/>
      <c r="FJ49" s="31"/>
      <c r="FK49" s="31"/>
      <c r="FL49" s="31"/>
      <c r="FM49" s="31"/>
      <c r="FN49" s="31"/>
      <c r="FO49" s="31"/>
      <c r="FP49" s="31"/>
      <c r="FQ49" s="31"/>
      <c r="FR49" s="31"/>
      <c r="FS49" s="31"/>
      <c r="FT49" s="31"/>
      <c r="FU49" s="31"/>
      <c r="FV49" s="31"/>
      <c r="FW49" s="31"/>
      <c r="FX49" s="31"/>
      <c r="FY49" s="31"/>
      <c r="FZ49" s="31"/>
      <c r="GA49" s="31"/>
      <c r="GB49" s="31"/>
      <c r="GC49" s="31"/>
      <c r="GD49" s="31"/>
      <c r="GE49" s="31"/>
      <c r="GF49" s="31"/>
      <c r="GG49" s="31"/>
      <c r="GH49" s="31"/>
      <c r="GI49" s="31"/>
      <c r="GJ49" s="31"/>
      <c r="GK49" s="31"/>
      <c r="GL49" s="31"/>
      <c r="GM49" s="31"/>
      <c r="GN49" s="31"/>
      <c r="GO49" s="31"/>
      <c r="GP49" s="31"/>
      <c r="GQ49" s="31"/>
      <c r="GR49" s="31"/>
      <c r="GS49" s="31"/>
      <c r="GT49" s="31"/>
      <c r="GU49" s="31"/>
      <c r="GV49" s="31"/>
      <c r="GW49" s="31"/>
      <c r="GX49" s="31"/>
      <c r="GY49" s="31"/>
      <c r="GZ49" s="31"/>
      <c r="HA49" s="31"/>
      <c r="HB49" s="31"/>
      <c r="HC49" s="31"/>
      <c r="HD49" s="31"/>
      <c r="HE49" s="31"/>
      <c r="HF49" s="31"/>
      <c r="HG49" s="31"/>
      <c r="HH49" s="31"/>
      <c r="HI49" s="31"/>
      <c r="HJ49" s="31"/>
      <c r="HK49" s="31"/>
      <c r="HL49" s="31"/>
      <c r="HM49" s="31"/>
      <c r="HN49" s="31"/>
      <c r="HO49" s="31"/>
      <c r="HP49" s="31"/>
      <c r="HQ49" s="31"/>
      <c r="HR49" s="31"/>
      <c r="HS49" s="31"/>
      <c r="HT49" s="31"/>
      <c r="HU49" s="31"/>
      <c r="HV49" s="31"/>
      <c r="HW49" s="31"/>
      <c r="HX49" s="31"/>
      <c r="HY49" s="31"/>
      <c r="HZ49" s="31"/>
    </row>
    <row r="50" spans="1:234" ht="14.25" customHeight="1" x14ac:dyDescent="0.35">
      <c r="A50" s="55" t="s">
        <v>189</v>
      </c>
      <c r="B50" s="46"/>
      <c r="C50" s="46"/>
      <c r="D50" s="46"/>
      <c r="E50" s="46"/>
      <c r="F50" s="46"/>
      <c r="G50" s="46"/>
      <c r="H50" s="46"/>
      <c r="I50" s="46">
        <v>3960000</v>
      </c>
      <c r="J50" s="46"/>
      <c r="K50" s="46"/>
      <c r="L50" s="46"/>
      <c r="M50" s="46"/>
      <c r="N50" s="46"/>
      <c r="O50" s="46"/>
      <c r="P50" s="47"/>
      <c r="Q50" s="47"/>
      <c r="R50" s="47"/>
      <c r="S50" s="27"/>
      <c r="T50" s="30"/>
      <c r="U50" s="27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  <c r="BQ50" s="31"/>
      <c r="BR50" s="31"/>
      <c r="BS50" s="31"/>
      <c r="BT50" s="31"/>
      <c r="BU50" s="31"/>
      <c r="BV50" s="31"/>
      <c r="BW50" s="31"/>
      <c r="BX50" s="31"/>
      <c r="BY50" s="31"/>
      <c r="BZ50" s="31"/>
      <c r="CA50" s="31"/>
      <c r="CB50" s="31"/>
      <c r="CC50" s="31"/>
      <c r="CD50" s="31"/>
      <c r="CE50" s="31"/>
      <c r="CF50" s="31"/>
      <c r="CG50" s="31"/>
      <c r="CH50" s="31"/>
      <c r="CI50" s="31"/>
      <c r="CJ50" s="31"/>
      <c r="CK50" s="31"/>
      <c r="CL50" s="31"/>
      <c r="CM50" s="31"/>
      <c r="CN50" s="31"/>
      <c r="CO50" s="31"/>
      <c r="CP50" s="31"/>
      <c r="CQ50" s="31"/>
      <c r="CR50" s="31"/>
      <c r="CS50" s="31"/>
      <c r="CT50" s="31"/>
      <c r="CU50" s="31"/>
      <c r="CV50" s="31"/>
      <c r="CW50" s="31"/>
      <c r="CX50" s="31"/>
      <c r="CY50" s="31"/>
      <c r="CZ50" s="31"/>
      <c r="DA50" s="31"/>
      <c r="DB50" s="31"/>
      <c r="DC50" s="31"/>
      <c r="DD50" s="31"/>
      <c r="DE50" s="31"/>
      <c r="DF50" s="31"/>
      <c r="DG50" s="31"/>
      <c r="DH50" s="31"/>
      <c r="DI50" s="31"/>
      <c r="DJ50" s="31"/>
      <c r="DK50" s="31"/>
      <c r="DL50" s="31"/>
      <c r="DM50" s="31"/>
      <c r="DN50" s="31"/>
      <c r="DO50" s="31"/>
      <c r="DP50" s="31"/>
      <c r="DQ50" s="31"/>
      <c r="DR50" s="31"/>
      <c r="DS50" s="31"/>
      <c r="DT50" s="31"/>
      <c r="DU50" s="31"/>
      <c r="DV50" s="31"/>
      <c r="DW50" s="31"/>
      <c r="DX50" s="31"/>
      <c r="DY50" s="31"/>
      <c r="DZ50" s="31"/>
      <c r="EA50" s="31"/>
      <c r="EB50" s="31"/>
      <c r="EC50" s="31"/>
      <c r="ED50" s="31"/>
      <c r="EE50" s="31"/>
      <c r="EF50" s="31"/>
      <c r="EG50" s="31"/>
      <c r="EH50" s="31"/>
      <c r="EI50" s="31"/>
      <c r="EJ50" s="31"/>
      <c r="EK50" s="31"/>
      <c r="EL50" s="31"/>
      <c r="EM50" s="31"/>
      <c r="EN50" s="31"/>
      <c r="EO50" s="31"/>
      <c r="EP50" s="31"/>
      <c r="EQ50" s="31"/>
      <c r="ER50" s="31"/>
      <c r="ES50" s="31"/>
      <c r="ET50" s="31"/>
      <c r="EU50" s="31"/>
      <c r="EV50" s="31"/>
      <c r="EW50" s="31"/>
      <c r="EX50" s="31"/>
      <c r="EY50" s="31"/>
      <c r="EZ50" s="31"/>
      <c r="FA50" s="31"/>
      <c r="FB50" s="31"/>
      <c r="FC50" s="31"/>
      <c r="FD50" s="31"/>
      <c r="FE50" s="31"/>
      <c r="FF50" s="31"/>
      <c r="FG50" s="31"/>
      <c r="FH50" s="31"/>
      <c r="FI50" s="31"/>
      <c r="FJ50" s="31"/>
      <c r="FK50" s="31"/>
      <c r="FL50" s="31"/>
      <c r="FM50" s="31"/>
      <c r="FN50" s="31"/>
      <c r="FO50" s="31"/>
      <c r="FP50" s="31"/>
      <c r="FQ50" s="31"/>
      <c r="FR50" s="31"/>
      <c r="FS50" s="31"/>
      <c r="FT50" s="31"/>
      <c r="FU50" s="31"/>
      <c r="FV50" s="31"/>
      <c r="FW50" s="31"/>
      <c r="FX50" s="31"/>
      <c r="FY50" s="31"/>
      <c r="FZ50" s="31"/>
      <c r="GA50" s="31"/>
      <c r="GB50" s="31"/>
      <c r="GC50" s="31"/>
      <c r="GD50" s="31"/>
      <c r="GE50" s="31"/>
      <c r="GF50" s="31"/>
      <c r="GG50" s="31"/>
      <c r="GH50" s="31"/>
      <c r="GI50" s="31"/>
      <c r="GJ50" s="31"/>
      <c r="GK50" s="31"/>
      <c r="GL50" s="31"/>
      <c r="GM50" s="31"/>
      <c r="GN50" s="31"/>
      <c r="GO50" s="31"/>
      <c r="GP50" s="31"/>
      <c r="GQ50" s="31"/>
      <c r="GR50" s="31"/>
      <c r="GS50" s="31"/>
      <c r="GT50" s="31"/>
      <c r="GU50" s="31"/>
      <c r="GV50" s="31"/>
      <c r="GW50" s="31"/>
      <c r="GX50" s="31"/>
      <c r="GY50" s="31"/>
      <c r="GZ50" s="31"/>
      <c r="HA50" s="31"/>
      <c r="HB50" s="31"/>
      <c r="HC50" s="31"/>
      <c r="HD50" s="31"/>
      <c r="HE50" s="31"/>
      <c r="HF50" s="31"/>
      <c r="HG50" s="31"/>
      <c r="HH50" s="31"/>
      <c r="HI50" s="31"/>
      <c r="HJ50" s="31"/>
      <c r="HK50" s="31"/>
      <c r="HL50" s="31"/>
      <c r="HM50" s="31"/>
      <c r="HN50" s="31"/>
      <c r="HO50" s="31"/>
      <c r="HP50" s="31"/>
      <c r="HQ50" s="31"/>
      <c r="HR50" s="31"/>
      <c r="HS50" s="31"/>
      <c r="HT50" s="31"/>
      <c r="HU50" s="31"/>
      <c r="HV50" s="31"/>
      <c r="HW50" s="31"/>
      <c r="HX50" s="31"/>
      <c r="HY50" s="31"/>
      <c r="HZ50" s="31"/>
    </row>
    <row r="51" spans="1:234" ht="14.25" customHeight="1" x14ac:dyDescent="0.35">
      <c r="A51" s="55" t="s">
        <v>190</v>
      </c>
      <c r="B51" s="46"/>
      <c r="C51" s="46"/>
      <c r="D51" s="46"/>
      <c r="E51" s="46"/>
      <c r="F51" s="46"/>
      <c r="G51" s="46"/>
      <c r="H51" s="46"/>
      <c r="I51" s="46">
        <v>4247236</v>
      </c>
      <c r="J51" s="46"/>
      <c r="K51" s="46"/>
      <c r="L51" s="46"/>
      <c r="M51" s="46"/>
      <c r="N51" s="46"/>
      <c r="O51" s="46"/>
      <c r="P51" s="47"/>
      <c r="Q51" s="47"/>
      <c r="R51" s="47"/>
      <c r="S51" s="27"/>
      <c r="T51" s="30"/>
      <c r="U51" s="27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31"/>
      <c r="BR51" s="31"/>
      <c r="BS51" s="31"/>
      <c r="BT51" s="31"/>
      <c r="BU51" s="31"/>
      <c r="BV51" s="31"/>
      <c r="BW51" s="31"/>
      <c r="BX51" s="31"/>
      <c r="BY51" s="31"/>
      <c r="BZ51" s="31"/>
      <c r="CA51" s="31"/>
      <c r="CB51" s="31"/>
      <c r="CC51" s="31"/>
      <c r="CD51" s="31"/>
      <c r="CE51" s="31"/>
      <c r="CF51" s="31"/>
      <c r="CG51" s="31"/>
      <c r="CH51" s="31"/>
      <c r="CI51" s="31"/>
      <c r="CJ51" s="31"/>
      <c r="CK51" s="31"/>
      <c r="CL51" s="31"/>
      <c r="CM51" s="31"/>
      <c r="CN51" s="31"/>
      <c r="CO51" s="31"/>
      <c r="CP51" s="31"/>
      <c r="CQ51" s="31"/>
      <c r="CR51" s="31"/>
      <c r="CS51" s="31"/>
      <c r="CT51" s="31"/>
      <c r="CU51" s="31"/>
      <c r="CV51" s="31"/>
      <c r="CW51" s="31"/>
      <c r="CX51" s="31"/>
      <c r="CY51" s="31"/>
      <c r="CZ51" s="31"/>
      <c r="DA51" s="31"/>
      <c r="DB51" s="31"/>
      <c r="DC51" s="31"/>
      <c r="DD51" s="31"/>
      <c r="DE51" s="31"/>
      <c r="DF51" s="31"/>
      <c r="DG51" s="31"/>
      <c r="DH51" s="31"/>
      <c r="DI51" s="31"/>
      <c r="DJ51" s="31"/>
      <c r="DK51" s="31"/>
      <c r="DL51" s="31"/>
      <c r="DM51" s="31"/>
      <c r="DN51" s="31"/>
      <c r="DO51" s="31"/>
      <c r="DP51" s="31"/>
      <c r="DQ51" s="31"/>
      <c r="DR51" s="31"/>
      <c r="DS51" s="31"/>
      <c r="DT51" s="31"/>
      <c r="DU51" s="31"/>
      <c r="DV51" s="31"/>
      <c r="DW51" s="31"/>
      <c r="DX51" s="31"/>
      <c r="DY51" s="31"/>
      <c r="DZ51" s="31"/>
      <c r="EA51" s="31"/>
      <c r="EB51" s="31"/>
      <c r="EC51" s="31"/>
      <c r="ED51" s="31"/>
      <c r="EE51" s="31"/>
      <c r="EF51" s="31"/>
      <c r="EG51" s="31"/>
      <c r="EH51" s="31"/>
      <c r="EI51" s="31"/>
      <c r="EJ51" s="31"/>
      <c r="EK51" s="31"/>
      <c r="EL51" s="31"/>
      <c r="EM51" s="31"/>
      <c r="EN51" s="31"/>
      <c r="EO51" s="31"/>
      <c r="EP51" s="31"/>
      <c r="EQ51" s="31"/>
      <c r="ER51" s="31"/>
      <c r="ES51" s="31"/>
      <c r="ET51" s="31"/>
      <c r="EU51" s="31"/>
      <c r="EV51" s="31"/>
      <c r="EW51" s="31"/>
      <c r="EX51" s="31"/>
      <c r="EY51" s="31"/>
      <c r="EZ51" s="31"/>
      <c r="FA51" s="31"/>
      <c r="FB51" s="31"/>
      <c r="FC51" s="31"/>
      <c r="FD51" s="31"/>
      <c r="FE51" s="31"/>
      <c r="FF51" s="31"/>
      <c r="FG51" s="31"/>
      <c r="FH51" s="31"/>
      <c r="FI51" s="31"/>
      <c r="FJ51" s="31"/>
      <c r="FK51" s="31"/>
      <c r="FL51" s="31"/>
      <c r="FM51" s="31"/>
      <c r="FN51" s="31"/>
      <c r="FO51" s="31"/>
      <c r="FP51" s="31"/>
      <c r="FQ51" s="31"/>
      <c r="FR51" s="31"/>
      <c r="FS51" s="31"/>
      <c r="FT51" s="31"/>
      <c r="FU51" s="31"/>
      <c r="FV51" s="31"/>
      <c r="FW51" s="31"/>
      <c r="FX51" s="31"/>
      <c r="FY51" s="31"/>
      <c r="FZ51" s="31"/>
      <c r="GA51" s="31"/>
      <c r="GB51" s="31"/>
      <c r="GC51" s="31"/>
      <c r="GD51" s="31"/>
      <c r="GE51" s="31"/>
      <c r="GF51" s="31"/>
      <c r="GG51" s="31"/>
      <c r="GH51" s="31"/>
      <c r="GI51" s="31"/>
      <c r="GJ51" s="31"/>
      <c r="GK51" s="31"/>
      <c r="GL51" s="31"/>
      <c r="GM51" s="31"/>
      <c r="GN51" s="31"/>
      <c r="GO51" s="31"/>
      <c r="GP51" s="31"/>
      <c r="GQ51" s="31"/>
      <c r="GR51" s="31"/>
      <c r="GS51" s="31"/>
      <c r="GT51" s="31"/>
      <c r="GU51" s="31"/>
      <c r="GV51" s="31"/>
      <c r="GW51" s="31"/>
      <c r="GX51" s="31"/>
      <c r="GY51" s="31"/>
      <c r="GZ51" s="31"/>
      <c r="HA51" s="31"/>
      <c r="HB51" s="31"/>
      <c r="HC51" s="31"/>
      <c r="HD51" s="31"/>
      <c r="HE51" s="31"/>
      <c r="HF51" s="31"/>
      <c r="HG51" s="31"/>
      <c r="HH51" s="31"/>
      <c r="HI51" s="31"/>
      <c r="HJ51" s="31"/>
      <c r="HK51" s="31"/>
      <c r="HL51" s="31"/>
      <c r="HM51" s="31"/>
      <c r="HN51" s="31"/>
      <c r="HO51" s="31"/>
      <c r="HP51" s="31"/>
      <c r="HQ51" s="31"/>
      <c r="HR51" s="31"/>
      <c r="HS51" s="31"/>
      <c r="HT51" s="31"/>
      <c r="HU51" s="31"/>
      <c r="HV51" s="31"/>
      <c r="HW51" s="31"/>
      <c r="HX51" s="31"/>
      <c r="HY51" s="31"/>
      <c r="HZ51" s="31"/>
    </row>
    <row r="52" spans="1:234" ht="14.25" customHeight="1" x14ac:dyDescent="0.35">
      <c r="A52" s="55" t="s">
        <v>166</v>
      </c>
      <c r="B52" s="46"/>
      <c r="C52" s="46"/>
      <c r="D52" s="46">
        <f>(11700000*(360/720))/12</f>
        <v>487500</v>
      </c>
      <c r="E52" s="46">
        <f>(11700000*(360/720))/12</f>
        <v>487500</v>
      </c>
      <c r="F52" s="46">
        <f>(11700000*(360/720))/12</f>
        <v>487500</v>
      </c>
      <c r="G52" s="46">
        <f t="shared" ref="G52:O52" si="7">(11700000*(360/720))/12</f>
        <v>487500</v>
      </c>
      <c r="H52" s="46">
        <f t="shared" si="7"/>
        <v>487500</v>
      </c>
      <c r="I52" s="46">
        <f t="shared" si="7"/>
        <v>487500</v>
      </c>
      <c r="J52" s="46">
        <f t="shared" si="7"/>
        <v>487500</v>
      </c>
      <c r="K52" s="46">
        <f t="shared" si="7"/>
        <v>487500</v>
      </c>
      <c r="L52" s="46">
        <f t="shared" si="7"/>
        <v>487500</v>
      </c>
      <c r="M52" s="46">
        <f t="shared" si="7"/>
        <v>487500</v>
      </c>
      <c r="N52" s="46">
        <f t="shared" si="7"/>
        <v>487500</v>
      </c>
      <c r="O52" s="46">
        <f t="shared" si="7"/>
        <v>487500</v>
      </c>
      <c r="P52" s="47"/>
      <c r="Q52" s="47"/>
      <c r="R52" s="47"/>
      <c r="S52" s="27"/>
      <c r="T52" s="30"/>
      <c r="U52" s="27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31"/>
      <c r="BS52" s="31"/>
      <c r="BT52" s="31"/>
      <c r="BU52" s="31"/>
      <c r="BV52" s="31"/>
      <c r="BW52" s="31"/>
      <c r="BX52" s="31"/>
      <c r="BY52" s="31"/>
      <c r="BZ52" s="31"/>
      <c r="CA52" s="31"/>
      <c r="CB52" s="31"/>
      <c r="CC52" s="31"/>
      <c r="CD52" s="31"/>
      <c r="CE52" s="31"/>
      <c r="CF52" s="31"/>
      <c r="CG52" s="31"/>
      <c r="CH52" s="31"/>
      <c r="CI52" s="31"/>
      <c r="CJ52" s="31"/>
      <c r="CK52" s="31"/>
      <c r="CL52" s="31"/>
      <c r="CM52" s="31"/>
      <c r="CN52" s="31"/>
      <c r="CO52" s="31"/>
      <c r="CP52" s="31"/>
      <c r="CQ52" s="31"/>
      <c r="CR52" s="31"/>
      <c r="CS52" s="31"/>
      <c r="CT52" s="31"/>
      <c r="CU52" s="31"/>
      <c r="CV52" s="31"/>
      <c r="CW52" s="31"/>
      <c r="CX52" s="31"/>
      <c r="CY52" s="31"/>
      <c r="CZ52" s="31"/>
      <c r="DA52" s="31"/>
      <c r="DB52" s="31"/>
      <c r="DC52" s="31"/>
      <c r="DD52" s="31"/>
      <c r="DE52" s="31"/>
      <c r="DF52" s="31"/>
      <c r="DG52" s="31"/>
      <c r="DH52" s="31"/>
      <c r="DI52" s="31"/>
      <c r="DJ52" s="31"/>
      <c r="DK52" s="31"/>
      <c r="DL52" s="31"/>
      <c r="DM52" s="31"/>
      <c r="DN52" s="31"/>
      <c r="DO52" s="31"/>
      <c r="DP52" s="31"/>
      <c r="DQ52" s="31"/>
      <c r="DR52" s="31"/>
      <c r="DS52" s="31"/>
      <c r="DT52" s="31"/>
      <c r="DU52" s="31"/>
      <c r="DV52" s="31"/>
      <c r="DW52" s="31"/>
      <c r="DX52" s="31"/>
      <c r="DY52" s="31"/>
      <c r="DZ52" s="31"/>
      <c r="EA52" s="31"/>
      <c r="EB52" s="31"/>
      <c r="EC52" s="31"/>
      <c r="ED52" s="31"/>
      <c r="EE52" s="31"/>
      <c r="EF52" s="31"/>
      <c r="EG52" s="31"/>
      <c r="EH52" s="31"/>
      <c r="EI52" s="31"/>
      <c r="EJ52" s="31"/>
      <c r="EK52" s="31"/>
      <c r="EL52" s="31"/>
      <c r="EM52" s="31"/>
      <c r="EN52" s="31"/>
      <c r="EO52" s="31"/>
      <c r="EP52" s="31"/>
      <c r="EQ52" s="31"/>
      <c r="ER52" s="31"/>
      <c r="ES52" s="31"/>
      <c r="ET52" s="31"/>
      <c r="EU52" s="31"/>
      <c r="EV52" s="31"/>
      <c r="EW52" s="31"/>
      <c r="EX52" s="31"/>
      <c r="EY52" s="31"/>
      <c r="EZ52" s="31"/>
      <c r="FA52" s="31"/>
      <c r="FB52" s="31"/>
      <c r="FC52" s="31"/>
      <c r="FD52" s="31"/>
      <c r="FE52" s="31"/>
      <c r="FF52" s="31"/>
      <c r="FG52" s="31"/>
      <c r="FH52" s="31"/>
      <c r="FI52" s="31"/>
      <c r="FJ52" s="31"/>
      <c r="FK52" s="31"/>
      <c r="FL52" s="31"/>
      <c r="FM52" s="31"/>
      <c r="FN52" s="31"/>
      <c r="FO52" s="31"/>
      <c r="FP52" s="31"/>
      <c r="FQ52" s="31"/>
      <c r="FR52" s="31"/>
      <c r="FS52" s="31"/>
      <c r="FT52" s="31"/>
      <c r="FU52" s="31"/>
      <c r="FV52" s="31"/>
      <c r="FW52" s="31"/>
      <c r="FX52" s="31"/>
      <c r="FY52" s="31"/>
      <c r="FZ52" s="31"/>
      <c r="GA52" s="31"/>
      <c r="GB52" s="31"/>
      <c r="GC52" s="31"/>
      <c r="GD52" s="31"/>
      <c r="GE52" s="31"/>
      <c r="GF52" s="31"/>
      <c r="GG52" s="31"/>
      <c r="GH52" s="31"/>
      <c r="GI52" s="31"/>
      <c r="GJ52" s="31"/>
      <c r="GK52" s="31"/>
      <c r="GL52" s="31"/>
      <c r="GM52" s="31"/>
      <c r="GN52" s="31"/>
      <c r="GO52" s="31"/>
      <c r="GP52" s="31"/>
      <c r="GQ52" s="31"/>
      <c r="GR52" s="31"/>
      <c r="GS52" s="31"/>
      <c r="GT52" s="31"/>
      <c r="GU52" s="31"/>
      <c r="GV52" s="31"/>
      <c r="GW52" s="31"/>
      <c r="GX52" s="31"/>
      <c r="GY52" s="31"/>
      <c r="GZ52" s="31"/>
      <c r="HA52" s="31"/>
      <c r="HB52" s="31"/>
      <c r="HC52" s="31"/>
      <c r="HD52" s="31"/>
      <c r="HE52" s="31"/>
      <c r="HF52" s="31"/>
      <c r="HG52" s="31"/>
      <c r="HH52" s="31"/>
      <c r="HI52" s="31"/>
      <c r="HJ52" s="31"/>
      <c r="HK52" s="31"/>
      <c r="HL52" s="31"/>
      <c r="HM52" s="31"/>
      <c r="HN52" s="31"/>
      <c r="HO52" s="31"/>
      <c r="HP52" s="31"/>
      <c r="HQ52" s="31"/>
      <c r="HR52" s="31"/>
      <c r="HS52" s="31"/>
      <c r="HT52" s="31"/>
      <c r="HU52" s="31"/>
      <c r="HV52" s="31"/>
      <c r="HW52" s="31"/>
      <c r="HX52" s="31"/>
      <c r="HY52" s="31"/>
      <c r="HZ52" s="31"/>
    </row>
    <row r="53" spans="1:234" ht="14.25" customHeight="1" x14ac:dyDescent="0.35">
      <c r="A53" s="55" t="s">
        <v>167</v>
      </c>
      <c r="B53" s="46"/>
      <c r="C53" s="46"/>
      <c r="D53" s="46">
        <f>11023500/12</f>
        <v>918625</v>
      </c>
      <c r="E53" s="46">
        <f t="shared" ref="E53:O53" si="8">11023500/12</f>
        <v>918625</v>
      </c>
      <c r="F53" s="46">
        <f t="shared" si="8"/>
        <v>918625</v>
      </c>
      <c r="G53" s="46">
        <f t="shared" si="8"/>
        <v>918625</v>
      </c>
      <c r="H53" s="46">
        <f t="shared" si="8"/>
        <v>918625</v>
      </c>
      <c r="I53" s="46">
        <f t="shared" si="8"/>
        <v>918625</v>
      </c>
      <c r="J53" s="46">
        <f t="shared" si="8"/>
        <v>918625</v>
      </c>
      <c r="K53" s="46">
        <f t="shared" si="8"/>
        <v>918625</v>
      </c>
      <c r="L53" s="46">
        <f t="shared" si="8"/>
        <v>918625</v>
      </c>
      <c r="M53" s="46">
        <f t="shared" si="8"/>
        <v>918625</v>
      </c>
      <c r="N53" s="46">
        <f t="shared" si="8"/>
        <v>918625</v>
      </c>
      <c r="O53" s="46">
        <f t="shared" si="8"/>
        <v>918625</v>
      </c>
      <c r="P53" s="47"/>
      <c r="Q53" s="47"/>
      <c r="R53" s="47"/>
      <c r="S53" s="27"/>
      <c r="T53" s="30"/>
      <c r="U53" s="27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31"/>
      <c r="BR53" s="31"/>
      <c r="BS53" s="31"/>
      <c r="BT53" s="31"/>
      <c r="BU53" s="31"/>
      <c r="BV53" s="31"/>
      <c r="BW53" s="31"/>
      <c r="BX53" s="31"/>
      <c r="BY53" s="31"/>
      <c r="BZ53" s="31"/>
      <c r="CA53" s="31"/>
      <c r="CB53" s="31"/>
      <c r="CC53" s="31"/>
      <c r="CD53" s="31"/>
      <c r="CE53" s="31"/>
      <c r="CF53" s="31"/>
      <c r="CG53" s="31"/>
      <c r="CH53" s="31"/>
      <c r="CI53" s="31"/>
      <c r="CJ53" s="31"/>
      <c r="CK53" s="31"/>
      <c r="CL53" s="31"/>
      <c r="CM53" s="31"/>
      <c r="CN53" s="31"/>
      <c r="CO53" s="31"/>
      <c r="CP53" s="31"/>
      <c r="CQ53" s="31"/>
      <c r="CR53" s="31"/>
      <c r="CS53" s="31"/>
      <c r="CT53" s="31"/>
      <c r="CU53" s="31"/>
      <c r="CV53" s="31"/>
      <c r="CW53" s="31"/>
      <c r="CX53" s="31"/>
      <c r="CY53" s="31"/>
      <c r="CZ53" s="31"/>
      <c r="DA53" s="31"/>
      <c r="DB53" s="31"/>
      <c r="DC53" s="31"/>
      <c r="DD53" s="31"/>
      <c r="DE53" s="31"/>
      <c r="DF53" s="31"/>
      <c r="DG53" s="31"/>
      <c r="DH53" s="31"/>
      <c r="DI53" s="31"/>
      <c r="DJ53" s="31"/>
      <c r="DK53" s="31"/>
      <c r="DL53" s="31"/>
      <c r="DM53" s="31"/>
      <c r="DN53" s="31"/>
      <c r="DO53" s="31"/>
      <c r="DP53" s="31"/>
      <c r="DQ53" s="31"/>
      <c r="DR53" s="31"/>
      <c r="DS53" s="31"/>
      <c r="DT53" s="31"/>
      <c r="DU53" s="31"/>
      <c r="DV53" s="31"/>
      <c r="DW53" s="31"/>
      <c r="DX53" s="31"/>
      <c r="DY53" s="31"/>
      <c r="DZ53" s="31"/>
      <c r="EA53" s="31"/>
      <c r="EB53" s="31"/>
      <c r="EC53" s="31"/>
      <c r="ED53" s="31"/>
      <c r="EE53" s="31"/>
      <c r="EF53" s="31"/>
      <c r="EG53" s="31"/>
      <c r="EH53" s="31"/>
      <c r="EI53" s="31"/>
      <c r="EJ53" s="31"/>
      <c r="EK53" s="31"/>
      <c r="EL53" s="31"/>
      <c r="EM53" s="31"/>
      <c r="EN53" s="31"/>
      <c r="EO53" s="31"/>
      <c r="EP53" s="31"/>
      <c r="EQ53" s="31"/>
      <c r="ER53" s="31"/>
      <c r="ES53" s="31"/>
      <c r="ET53" s="31"/>
      <c r="EU53" s="31"/>
      <c r="EV53" s="31"/>
      <c r="EW53" s="31"/>
      <c r="EX53" s="31"/>
      <c r="EY53" s="31"/>
      <c r="EZ53" s="31"/>
      <c r="FA53" s="31"/>
      <c r="FB53" s="31"/>
      <c r="FC53" s="31"/>
      <c r="FD53" s="31"/>
      <c r="FE53" s="31"/>
      <c r="FF53" s="31"/>
      <c r="FG53" s="31"/>
      <c r="FH53" s="31"/>
      <c r="FI53" s="31"/>
      <c r="FJ53" s="31"/>
      <c r="FK53" s="31"/>
      <c r="FL53" s="31"/>
      <c r="FM53" s="31"/>
      <c r="FN53" s="31"/>
      <c r="FO53" s="31"/>
      <c r="FP53" s="31"/>
      <c r="FQ53" s="31"/>
      <c r="FR53" s="31"/>
      <c r="FS53" s="31"/>
      <c r="FT53" s="31"/>
      <c r="FU53" s="31"/>
      <c r="FV53" s="31"/>
      <c r="FW53" s="31"/>
      <c r="FX53" s="31"/>
      <c r="FY53" s="31"/>
      <c r="FZ53" s="31"/>
      <c r="GA53" s="31"/>
      <c r="GB53" s="31"/>
      <c r="GC53" s="31"/>
      <c r="GD53" s="31"/>
      <c r="GE53" s="31"/>
      <c r="GF53" s="31"/>
      <c r="GG53" s="31"/>
      <c r="GH53" s="31"/>
      <c r="GI53" s="31"/>
      <c r="GJ53" s="31"/>
      <c r="GK53" s="31"/>
      <c r="GL53" s="31"/>
      <c r="GM53" s="31"/>
      <c r="GN53" s="31"/>
      <c r="GO53" s="31"/>
      <c r="GP53" s="31"/>
      <c r="GQ53" s="31"/>
      <c r="GR53" s="31"/>
      <c r="GS53" s="31"/>
      <c r="GT53" s="31"/>
      <c r="GU53" s="31"/>
      <c r="GV53" s="31"/>
      <c r="GW53" s="31"/>
      <c r="GX53" s="31"/>
      <c r="GY53" s="31"/>
      <c r="GZ53" s="31"/>
      <c r="HA53" s="31"/>
      <c r="HB53" s="31"/>
      <c r="HC53" s="31"/>
      <c r="HD53" s="31"/>
      <c r="HE53" s="31"/>
      <c r="HF53" s="31"/>
      <c r="HG53" s="31"/>
      <c r="HH53" s="31"/>
      <c r="HI53" s="31"/>
      <c r="HJ53" s="31"/>
      <c r="HK53" s="31"/>
      <c r="HL53" s="31"/>
      <c r="HM53" s="31"/>
      <c r="HN53" s="31"/>
      <c r="HO53" s="31"/>
      <c r="HP53" s="31"/>
      <c r="HQ53" s="31"/>
      <c r="HR53" s="31"/>
      <c r="HS53" s="31"/>
      <c r="HT53" s="31"/>
      <c r="HU53" s="31"/>
      <c r="HV53" s="31"/>
      <c r="HW53" s="31"/>
      <c r="HX53" s="31"/>
      <c r="HY53" s="31"/>
      <c r="HZ53" s="31"/>
    </row>
    <row r="54" spans="1:234" ht="14.25" customHeight="1" x14ac:dyDescent="0.35">
      <c r="A54" s="55" t="s">
        <v>149</v>
      </c>
      <c r="B54" s="46"/>
      <c r="C54" s="46"/>
      <c r="D54" s="46"/>
      <c r="E54" s="46"/>
      <c r="F54" s="46"/>
      <c r="G54" s="46">
        <v>1649999</v>
      </c>
      <c r="H54" s="46">
        <v>1649999</v>
      </c>
      <c r="I54" s="46">
        <v>1649999</v>
      </c>
      <c r="J54" s="46">
        <v>1649999</v>
      </c>
      <c r="K54" s="46">
        <v>1649999</v>
      </c>
      <c r="L54" s="46">
        <v>1649999</v>
      </c>
      <c r="M54" s="46">
        <v>1649999</v>
      </c>
      <c r="N54" s="46">
        <v>1649999</v>
      </c>
      <c r="O54" s="46">
        <v>1649999</v>
      </c>
      <c r="P54" s="47"/>
      <c r="Q54" s="47"/>
      <c r="R54" s="47"/>
      <c r="S54" s="27"/>
      <c r="T54" s="30"/>
      <c r="U54" s="27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  <c r="BQ54" s="31"/>
      <c r="BR54" s="31"/>
      <c r="BS54" s="31"/>
      <c r="BT54" s="31"/>
      <c r="BU54" s="31"/>
      <c r="BV54" s="31"/>
      <c r="BW54" s="31"/>
      <c r="BX54" s="31"/>
      <c r="BY54" s="31"/>
      <c r="BZ54" s="31"/>
      <c r="CA54" s="31"/>
      <c r="CB54" s="31"/>
      <c r="CC54" s="31"/>
      <c r="CD54" s="31"/>
      <c r="CE54" s="31"/>
      <c r="CF54" s="31"/>
      <c r="CG54" s="31"/>
      <c r="CH54" s="31"/>
      <c r="CI54" s="31"/>
      <c r="CJ54" s="31"/>
      <c r="CK54" s="31"/>
      <c r="CL54" s="31"/>
      <c r="CM54" s="31"/>
      <c r="CN54" s="31"/>
      <c r="CO54" s="31"/>
      <c r="CP54" s="31"/>
      <c r="CQ54" s="31"/>
      <c r="CR54" s="31"/>
      <c r="CS54" s="31"/>
      <c r="CT54" s="31"/>
      <c r="CU54" s="31"/>
      <c r="CV54" s="31"/>
      <c r="CW54" s="31"/>
      <c r="CX54" s="31"/>
      <c r="CY54" s="31"/>
      <c r="CZ54" s="31"/>
      <c r="DA54" s="31"/>
      <c r="DB54" s="31"/>
      <c r="DC54" s="31"/>
      <c r="DD54" s="31"/>
      <c r="DE54" s="31"/>
      <c r="DF54" s="31"/>
      <c r="DG54" s="31"/>
      <c r="DH54" s="31"/>
      <c r="DI54" s="31"/>
      <c r="DJ54" s="31"/>
      <c r="DK54" s="31"/>
      <c r="DL54" s="31"/>
      <c r="DM54" s="31"/>
      <c r="DN54" s="31"/>
      <c r="DO54" s="31"/>
      <c r="DP54" s="31"/>
      <c r="DQ54" s="31"/>
      <c r="DR54" s="31"/>
      <c r="DS54" s="31"/>
      <c r="DT54" s="31"/>
      <c r="DU54" s="31"/>
      <c r="DV54" s="31"/>
      <c r="DW54" s="31"/>
      <c r="DX54" s="31"/>
      <c r="DY54" s="31"/>
      <c r="DZ54" s="31"/>
      <c r="EA54" s="31"/>
      <c r="EB54" s="31"/>
      <c r="EC54" s="31"/>
      <c r="ED54" s="31"/>
      <c r="EE54" s="31"/>
      <c r="EF54" s="31"/>
      <c r="EG54" s="31"/>
      <c r="EH54" s="31"/>
      <c r="EI54" s="31"/>
      <c r="EJ54" s="31"/>
      <c r="EK54" s="31"/>
      <c r="EL54" s="31"/>
      <c r="EM54" s="31"/>
      <c r="EN54" s="31"/>
      <c r="EO54" s="31"/>
      <c r="EP54" s="31"/>
      <c r="EQ54" s="31"/>
      <c r="ER54" s="31"/>
      <c r="ES54" s="31"/>
      <c r="ET54" s="31"/>
      <c r="EU54" s="31"/>
      <c r="EV54" s="31"/>
      <c r="EW54" s="31"/>
      <c r="EX54" s="31"/>
      <c r="EY54" s="31"/>
      <c r="EZ54" s="31"/>
      <c r="FA54" s="31"/>
      <c r="FB54" s="31"/>
      <c r="FC54" s="31"/>
      <c r="FD54" s="31"/>
      <c r="FE54" s="31"/>
      <c r="FF54" s="31"/>
      <c r="FG54" s="31"/>
      <c r="FH54" s="31"/>
      <c r="FI54" s="31"/>
      <c r="FJ54" s="31"/>
      <c r="FK54" s="31"/>
      <c r="FL54" s="31"/>
      <c r="FM54" s="31"/>
      <c r="FN54" s="31"/>
      <c r="FO54" s="31"/>
      <c r="FP54" s="31"/>
      <c r="FQ54" s="31"/>
      <c r="FR54" s="31"/>
      <c r="FS54" s="31"/>
      <c r="FT54" s="31"/>
      <c r="FU54" s="31"/>
      <c r="FV54" s="31"/>
      <c r="FW54" s="31"/>
      <c r="FX54" s="31"/>
      <c r="FY54" s="31"/>
      <c r="FZ54" s="31"/>
      <c r="GA54" s="31"/>
      <c r="GB54" s="31"/>
      <c r="GC54" s="31"/>
      <c r="GD54" s="31"/>
      <c r="GE54" s="31"/>
      <c r="GF54" s="31"/>
      <c r="GG54" s="31"/>
      <c r="GH54" s="31"/>
      <c r="GI54" s="31"/>
      <c r="GJ54" s="31"/>
      <c r="GK54" s="31"/>
      <c r="GL54" s="31"/>
      <c r="GM54" s="31"/>
      <c r="GN54" s="31"/>
      <c r="GO54" s="31"/>
      <c r="GP54" s="31"/>
      <c r="GQ54" s="31"/>
      <c r="GR54" s="31"/>
      <c r="GS54" s="31"/>
      <c r="GT54" s="31"/>
      <c r="GU54" s="31"/>
      <c r="GV54" s="31"/>
      <c r="GW54" s="31"/>
      <c r="GX54" s="31"/>
      <c r="GY54" s="31"/>
      <c r="GZ54" s="31"/>
      <c r="HA54" s="31"/>
      <c r="HB54" s="31"/>
      <c r="HC54" s="31"/>
      <c r="HD54" s="31"/>
      <c r="HE54" s="31"/>
      <c r="HF54" s="31"/>
      <c r="HG54" s="31"/>
      <c r="HH54" s="31"/>
      <c r="HI54" s="31"/>
      <c r="HJ54" s="31"/>
      <c r="HK54" s="31"/>
      <c r="HL54" s="31"/>
      <c r="HM54" s="31"/>
      <c r="HN54" s="31"/>
      <c r="HO54" s="31"/>
      <c r="HP54" s="31"/>
      <c r="HQ54" s="31"/>
      <c r="HR54" s="31"/>
      <c r="HS54" s="31"/>
      <c r="HT54" s="31"/>
      <c r="HU54" s="31"/>
      <c r="HV54" s="31"/>
      <c r="HW54" s="31"/>
      <c r="HX54" s="31"/>
      <c r="HY54" s="31"/>
      <c r="HZ54" s="31"/>
    </row>
    <row r="55" spans="1:234" ht="14.25" customHeight="1" x14ac:dyDescent="0.35">
      <c r="A55" s="55" t="s">
        <v>150</v>
      </c>
      <c r="B55" s="46"/>
      <c r="C55" s="46"/>
      <c r="D55" s="46"/>
      <c r="E55" s="46"/>
      <c r="F55" s="46">
        <v>6000000</v>
      </c>
      <c r="G55" s="46">
        <v>6000000</v>
      </c>
      <c r="H55" s="46">
        <v>6000000</v>
      </c>
      <c r="I55" s="46">
        <v>3000000</v>
      </c>
      <c r="J55" s="46">
        <v>4000000</v>
      </c>
      <c r="K55" s="46">
        <v>4000000</v>
      </c>
      <c r="L55" s="46">
        <v>4000000</v>
      </c>
      <c r="M55" s="46">
        <v>4000000</v>
      </c>
      <c r="N55" s="46">
        <v>4000000</v>
      </c>
      <c r="O55" s="46">
        <v>4000000</v>
      </c>
      <c r="P55" s="47"/>
      <c r="Q55" s="47"/>
      <c r="R55" s="47"/>
      <c r="S55" s="27"/>
      <c r="T55" s="30"/>
      <c r="U55" s="27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1"/>
      <c r="BQ55" s="31"/>
      <c r="BR55" s="31"/>
      <c r="BS55" s="31"/>
      <c r="BT55" s="31"/>
      <c r="BU55" s="31"/>
      <c r="BV55" s="31"/>
      <c r="BW55" s="31"/>
      <c r="BX55" s="31"/>
      <c r="BY55" s="31"/>
      <c r="BZ55" s="31"/>
      <c r="CA55" s="31"/>
      <c r="CB55" s="31"/>
      <c r="CC55" s="31"/>
      <c r="CD55" s="31"/>
      <c r="CE55" s="31"/>
      <c r="CF55" s="31"/>
      <c r="CG55" s="31"/>
      <c r="CH55" s="31"/>
      <c r="CI55" s="31"/>
      <c r="CJ55" s="31"/>
      <c r="CK55" s="31"/>
      <c r="CL55" s="31"/>
      <c r="CM55" s="31"/>
      <c r="CN55" s="31"/>
      <c r="CO55" s="31"/>
      <c r="CP55" s="31"/>
      <c r="CQ55" s="31"/>
      <c r="CR55" s="31"/>
      <c r="CS55" s="31"/>
      <c r="CT55" s="31"/>
      <c r="CU55" s="31"/>
      <c r="CV55" s="31"/>
      <c r="CW55" s="31"/>
      <c r="CX55" s="31"/>
      <c r="CY55" s="31"/>
      <c r="CZ55" s="31"/>
      <c r="DA55" s="31"/>
      <c r="DB55" s="31"/>
      <c r="DC55" s="31"/>
      <c r="DD55" s="31"/>
      <c r="DE55" s="31"/>
      <c r="DF55" s="31"/>
      <c r="DG55" s="31"/>
      <c r="DH55" s="31"/>
      <c r="DI55" s="31"/>
      <c r="DJ55" s="31"/>
      <c r="DK55" s="31"/>
      <c r="DL55" s="31"/>
      <c r="DM55" s="31"/>
      <c r="DN55" s="31"/>
      <c r="DO55" s="31"/>
      <c r="DP55" s="31"/>
      <c r="DQ55" s="31"/>
      <c r="DR55" s="31"/>
      <c r="DS55" s="31"/>
      <c r="DT55" s="31"/>
      <c r="DU55" s="31"/>
      <c r="DV55" s="31"/>
      <c r="DW55" s="31"/>
      <c r="DX55" s="31"/>
      <c r="DY55" s="31"/>
      <c r="DZ55" s="31"/>
      <c r="EA55" s="31"/>
      <c r="EB55" s="31"/>
      <c r="EC55" s="31"/>
      <c r="ED55" s="31"/>
      <c r="EE55" s="31"/>
      <c r="EF55" s="31"/>
      <c r="EG55" s="31"/>
      <c r="EH55" s="31"/>
      <c r="EI55" s="31"/>
      <c r="EJ55" s="31"/>
      <c r="EK55" s="31"/>
      <c r="EL55" s="31"/>
      <c r="EM55" s="31"/>
      <c r="EN55" s="31"/>
      <c r="EO55" s="31"/>
      <c r="EP55" s="31"/>
      <c r="EQ55" s="31"/>
      <c r="ER55" s="31"/>
      <c r="ES55" s="31"/>
      <c r="ET55" s="31"/>
      <c r="EU55" s="31"/>
      <c r="EV55" s="31"/>
      <c r="EW55" s="31"/>
      <c r="EX55" s="31"/>
      <c r="EY55" s="31"/>
      <c r="EZ55" s="31"/>
      <c r="FA55" s="31"/>
      <c r="FB55" s="31"/>
      <c r="FC55" s="31"/>
      <c r="FD55" s="31"/>
      <c r="FE55" s="31"/>
      <c r="FF55" s="31"/>
      <c r="FG55" s="31"/>
      <c r="FH55" s="31"/>
      <c r="FI55" s="31"/>
      <c r="FJ55" s="31"/>
      <c r="FK55" s="31"/>
      <c r="FL55" s="31"/>
      <c r="FM55" s="31"/>
      <c r="FN55" s="31"/>
      <c r="FO55" s="31"/>
      <c r="FP55" s="31"/>
      <c r="FQ55" s="31"/>
      <c r="FR55" s="31"/>
      <c r="FS55" s="31"/>
      <c r="FT55" s="31"/>
      <c r="FU55" s="31"/>
      <c r="FV55" s="31"/>
      <c r="FW55" s="31"/>
      <c r="FX55" s="31"/>
      <c r="FY55" s="31"/>
      <c r="FZ55" s="31"/>
      <c r="GA55" s="31"/>
      <c r="GB55" s="31"/>
      <c r="GC55" s="31"/>
      <c r="GD55" s="31"/>
      <c r="GE55" s="31"/>
      <c r="GF55" s="31"/>
      <c r="GG55" s="31"/>
      <c r="GH55" s="31"/>
      <c r="GI55" s="31"/>
      <c r="GJ55" s="31"/>
      <c r="GK55" s="31"/>
      <c r="GL55" s="31"/>
      <c r="GM55" s="31"/>
      <c r="GN55" s="31"/>
      <c r="GO55" s="31"/>
      <c r="GP55" s="31"/>
      <c r="GQ55" s="31"/>
      <c r="GR55" s="31"/>
      <c r="GS55" s="31"/>
      <c r="GT55" s="31"/>
      <c r="GU55" s="31"/>
      <c r="GV55" s="31"/>
      <c r="GW55" s="31"/>
      <c r="GX55" s="31"/>
      <c r="GY55" s="31"/>
      <c r="GZ55" s="31"/>
      <c r="HA55" s="31"/>
      <c r="HB55" s="31"/>
      <c r="HC55" s="31"/>
      <c r="HD55" s="31"/>
      <c r="HE55" s="31"/>
      <c r="HF55" s="31"/>
      <c r="HG55" s="31"/>
      <c r="HH55" s="31"/>
      <c r="HI55" s="31"/>
      <c r="HJ55" s="31"/>
      <c r="HK55" s="31"/>
      <c r="HL55" s="31"/>
      <c r="HM55" s="31"/>
      <c r="HN55" s="31"/>
      <c r="HO55" s="31"/>
      <c r="HP55" s="31"/>
      <c r="HQ55" s="31"/>
      <c r="HR55" s="31"/>
      <c r="HS55" s="31"/>
      <c r="HT55" s="31"/>
      <c r="HU55" s="31"/>
      <c r="HV55" s="31"/>
      <c r="HW55" s="31"/>
      <c r="HX55" s="31"/>
      <c r="HY55" s="31"/>
      <c r="HZ55" s="31"/>
    </row>
    <row r="56" spans="1:234" ht="14.25" customHeight="1" x14ac:dyDescent="0.35">
      <c r="A56" s="55" t="s">
        <v>102</v>
      </c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7"/>
      <c r="Q56" s="47"/>
      <c r="R56" s="47"/>
      <c r="S56" s="80"/>
      <c r="T56" s="30"/>
      <c r="U56" s="27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1"/>
      <c r="BP56" s="31"/>
      <c r="BQ56" s="31"/>
      <c r="BR56" s="31"/>
      <c r="BS56" s="31"/>
      <c r="BT56" s="31"/>
      <c r="BU56" s="31"/>
      <c r="BV56" s="31"/>
      <c r="BW56" s="31"/>
      <c r="BX56" s="31"/>
      <c r="BY56" s="31"/>
      <c r="BZ56" s="31"/>
      <c r="CA56" s="31"/>
      <c r="CB56" s="31"/>
      <c r="CC56" s="31"/>
      <c r="CD56" s="31"/>
      <c r="CE56" s="31"/>
      <c r="CF56" s="31"/>
      <c r="CG56" s="31"/>
      <c r="CH56" s="31"/>
      <c r="CI56" s="31"/>
      <c r="CJ56" s="31"/>
      <c r="CK56" s="31"/>
      <c r="CL56" s="31"/>
      <c r="CM56" s="31"/>
      <c r="CN56" s="31"/>
      <c r="CO56" s="31"/>
      <c r="CP56" s="31"/>
      <c r="CQ56" s="31"/>
      <c r="CR56" s="31"/>
      <c r="CS56" s="31"/>
      <c r="CT56" s="31"/>
      <c r="CU56" s="31"/>
      <c r="CV56" s="31"/>
      <c r="CW56" s="31"/>
      <c r="CX56" s="31"/>
      <c r="CY56" s="31"/>
      <c r="CZ56" s="31"/>
      <c r="DA56" s="31"/>
      <c r="DB56" s="31"/>
      <c r="DC56" s="31"/>
      <c r="DD56" s="31"/>
      <c r="DE56" s="31"/>
      <c r="DF56" s="31"/>
      <c r="DG56" s="31"/>
      <c r="DH56" s="31"/>
      <c r="DI56" s="31"/>
      <c r="DJ56" s="31"/>
      <c r="DK56" s="31"/>
      <c r="DL56" s="31"/>
      <c r="DM56" s="31"/>
      <c r="DN56" s="31"/>
      <c r="DO56" s="31"/>
      <c r="DP56" s="31"/>
      <c r="DQ56" s="31"/>
      <c r="DR56" s="31"/>
      <c r="DS56" s="31"/>
      <c r="DT56" s="31"/>
      <c r="DU56" s="31"/>
      <c r="DV56" s="31"/>
      <c r="DW56" s="31"/>
      <c r="DX56" s="31"/>
      <c r="DY56" s="31"/>
      <c r="DZ56" s="31"/>
      <c r="EA56" s="31"/>
      <c r="EB56" s="31"/>
      <c r="EC56" s="31"/>
      <c r="ED56" s="31"/>
      <c r="EE56" s="31"/>
      <c r="EF56" s="31"/>
      <c r="EG56" s="31"/>
      <c r="EH56" s="31"/>
      <c r="EI56" s="31"/>
      <c r="EJ56" s="31"/>
      <c r="EK56" s="31"/>
      <c r="EL56" s="31"/>
      <c r="EM56" s="31"/>
      <c r="EN56" s="31"/>
      <c r="EO56" s="31"/>
      <c r="EP56" s="31"/>
      <c r="EQ56" s="31"/>
      <c r="ER56" s="31"/>
      <c r="ES56" s="31"/>
      <c r="ET56" s="31"/>
      <c r="EU56" s="31"/>
      <c r="EV56" s="31"/>
      <c r="EW56" s="31"/>
      <c r="EX56" s="31"/>
      <c r="EY56" s="31"/>
      <c r="EZ56" s="31"/>
      <c r="FA56" s="31"/>
      <c r="FB56" s="31"/>
      <c r="FC56" s="31"/>
      <c r="FD56" s="31"/>
      <c r="FE56" s="31"/>
      <c r="FF56" s="31"/>
      <c r="FG56" s="31"/>
      <c r="FH56" s="31"/>
      <c r="FI56" s="31"/>
      <c r="FJ56" s="31"/>
      <c r="FK56" s="31"/>
      <c r="FL56" s="31"/>
      <c r="FM56" s="31"/>
      <c r="FN56" s="31"/>
      <c r="FO56" s="31"/>
      <c r="FP56" s="31"/>
      <c r="FQ56" s="31"/>
      <c r="FR56" s="31"/>
      <c r="FS56" s="31"/>
      <c r="FT56" s="31"/>
      <c r="FU56" s="31"/>
      <c r="FV56" s="31"/>
      <c r="FW56" s="31"/>
      <c r="FX56" s="31"/>
      <c r="FY56" s="31"/>
      <c r="FZ56" s="31"/>
      <c r="GA56" s="31"/>
      <c r="GB56" s="31"/>
      <c r="GC56" s="31"/>
      <c r="GD56" s="31"/>
      <c r="GE56" s="31"/>
      <c r="GF56" s="31"/>
      <c r="GG56" s="31"/>
      <c r="GH56" s="31"/>
      <c r="GI56" s="31"/>
      <c r="GJ56" s="31"/>
      <c r="GK56" s="31"/>
      <c r="GL56" s="31"/>
      <c r="GM56" s="31"/>
      <c r="GN56" s="31"/>
      <c r="GO56" s="31"/>
      <c r="GP56" s="31"/>
      <c r="GQ56" s="31"/>
      <c r="GR56" s="31"/>
      <c r="GS56" s="31"/>
      <c r="GT56" s="31"/>
      <c r="GU56" s="31"/>
      <c r="GV56" s="31"/>
      <c r="GW56" s="31"/>
      <c r="GX56" s="31"/>
      <c r="GY56" s="31"/>
      <c r="GZ56" s="31"/>
      <c r="HA56" s="31"/>
      <c r="HB56" s="31"/>
      <c r="HC56" s="31"/>
      <c r="HD56" s="31"/>
      <c r="HE56" s="31"/>
      <c r="HF56" s="31"/>
      <c r="HG56" s="31"/>
      <c r="HH56" s="31"/>
      <c r="HI56" s="31"/>
      <c r="HJ56" s="31"/>
      <c r="HK56" s="31"/>
      <c r="HL56" s="31"/>
      <c r="HM56" s="31"/>
      <c r="HN56" s="31"/>
      <c r="HO56" s="31"/>
      <c r="HP56" s="31"/>
      <c r="HQ56" s="31"/>
      <c r="HR56" s="31"/>
      <c r="HS56" s="31"/>
      <c r="HT56" s="31"/>
      <c r="HU56" s="31"/>
      <c r="HV56" s="31"/>
      <c r="HW56" s="31"/>
      <c r="HX56" s="31"/>
      <c r="HY56" s="31"/>
      <c r="HZ56" s="31"/>
    </row>
    <row r="57" spans="1:234" ht="14.25" customHeight="1" x14ac:dyDescent="0.35">
      <c r="A57" s="55" t="s">
        <v>103</v>
      </c>
      <c r="B57" s="46"/>
      <c r="C57" s="46"/>
      <c r="D57" s="46"/>
      <c r="E57" s="46">
        <v>15600000</v>
      </c>
      <c r="F57" s="46">
        <v>4942665</v>
      </c>
      <c r="G57" s="71">
        <f>22091000</f>
        <v>22091000</v>
      </c>
      <c r="H57" s="71">
        <v>26782000</v>
      </c>
      <c r="I57" s="71">
        <v>25166000</v>
      </c>
      <c r="J57" s="71"/>
      <c r="K57" s="71"/>
      <c r="L57" s="71"/>
      <c r="M57" s="71"/>
      <c r="N57" s="71"/>
      <c r="O57" s="46"/>
      <c r="P57" s="81"/>
      <c r="Q57" s="81"/>
      <c r="R57" s="81"/>
      <c r="S57" s="27"/>
      <c r="T57" s="30"/>
      <c r="U57" s="27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  <c r="BR57" s="31"/>
      <c r="BS57" s="31"/>
      <c r="BT57" s="31"/>
      <c r="BU57" s="31"/>
      <c r="BV57" s="31"/>
      <c r="BW57" s="31"/>
      <c r="BX57" s="31"/>
      <c r="BY57" s="31"/>
      <c r="BZ57" s="31"/>
      <c r="CA57" s="31"/>
      <c r="CB57" s="31"/>
      <c r="CC57" s="31"/>
      <c r="CD57" s="31"/>
      <c r="CE57" s="31"/>
      <c r="CF57" s="31"/>
      <c r="CG57" s="31"/>
      <c r="CH57" s="31"/>
      <c r="CI57" s="31"/>
      <c r="CJ57" s="31"/>
      <c r="CK57" s="31"/>
      <c r="CL57" s="31"/>
      <c r="CM57" s="31"/>
      <c r="CN57" s="31"/>
      <c r="CO57" s="31"/>
      <c r="CP57" s="31"/>
      <c r="CQ57" s="31"/>
      <c r="CR57" s="31"/>
      <c r="CS57" s="31"/>
      <c r="CT57" s="31"/>
      <c r="CU57" s="31"/>
      <c r="CV57" s="31"/>
      <c r="CW57" s="31"/>
      <c r="CX57" s="31"/>
      <c r="CY57" s="31"/>
      <c r="CZ57" s="31"/>
      <c r="DA57" s="31"/>
      <c r="DB57" s="31"/>
      <c r="DC57" s="31"/>
      <c r="DD57" s="31"/>
      <c r="DE57" s="31"/>
      <c r="DF57" s="31"/>
      <c r="DG57" s="31"/>
      <c r="DH57" s="31"/>
      <c r="DI57" s="31"/>
      <c r="DJ57" s="31"/>
      <c r="DK57" s="31"/>
      <c r="DL57" s="31"/>
      <c r="DM57" s="31"/>
      <c r="DN57" s="31"/>
      <c r="DO57" s="31"/>
      <c r="DP57" s="31"/>
      <c r="DQ57" s="31"/>
      <c r="DR57" s="31"/>
      <c r="DS57" s="31"/>
      <c r="DT57" s="31"/>
      <c r="DU57" s="31"/>
      <c r="DV57" s="31"/>
      <c r="DW57" s="31"/>
      <c r="DX57" s="31"/>
      <c r="DY57" s="31"/>
      <c r="DZ57" s="31"/>
      <c r="EA57" s="31"/>
      <c r="EB57" s="31"/>
      <c r="EC57" s="31"/>
      <c r="ED57" s="31"/>
      <c r="EE57" s="31"/>
      <c r="EF57" s="31"/>
      <c r="EG57" s="31"/>
      <c r="EH57" s="31"/>
      <c r="EI57" s="31"/>
      <c r="EJ57" s="31"/>
      <c r="EK57" s="31"/>
      <c r="EL57" s="31"/>
      <c r="EM57" s="31"/>
      <c r="EN57" s="31"/>
      <c r="EO57" s="31"/>
      <c r="EP57" s="31"/>
      <c r="EQ57" s="31"/>
      <c r="ER57" s="31"/>
      <c r="ES57" s="31"/>
      <c r="ET57" s="31"/>
      <c r="EU57" s="31"/>
      <c r="EV57" s="31"/>
      <c r="EW57" s="31"/>
      <c r="EX57" s="31"/>
      <c r="EY57" s="31"/>
      <c r="EZ57" s="31"/>
      <c r="FA57" s="31"/>
      <c r="FB57" s="31"/>
      <c r="FC57" s="31"/>
      <c r="FD57" s="31"/>
      <c r="FE57" s="31"/>
      <c r="FF57" s="31"/>
      <c r="FG57" s="31"/>
      <c r="FH57" s="31"/>
      <c r="FI57" s="31"/>
      <c r="FJ57" s="31"/>
      <c r="FK57" s="31"/>
      <c r="FL57" s="31"/>
      <c r="FM57" s="31"/>
      <c r="FN57" s="31"/>
      <c r="FO57" s="31"/>
      <c r="FP57" s="31"/>
      <c r="FQ57" s="31"/>
      <c r="FR57" s="31"/>
      <c r="FS57" s="31"/>
      <c r="FT57" s="31"/>
      <c r="FU57" s="31"/>
      <c r="FV57" s="31"/>
      <c r="FW57" s="31"/>
      <c r="FX57" s="31"/>
      <c r="FY57" s="31"/>
      <c r="FZ57" s="31"/>
      <c r="GA57" s="31"/>
      <c r="GB57" s="31"/>
      <c r="GC57" s="31"/>
      <c r="GD57" s="31"/>
      <c r="GE57" s="31"/>
      <c r="GF57" s="31"/>
      <c r="GG57" s="31"/>
      <c r="GH57" s="31"/>
      <c r="GI57" s="31"/>
      <c r="GJ57" s="31"/>
      <c r="GK57" s="31"/>
      <c r="GL57" s="31"/>
      <c r="GM57" s="31"/>
      <c r="GN57" s="31"/>
      <c r="GO57" s="31"/>
      <c r="GP57" s="31"/>
      <c r="GQ57" s="31"/>
      <c r="GR57" s="31"/>
      <c r="GS57" s="31"/>
      <c r="GT57" s="31"/>
      <c r="GU57" s="31"/>
      <c r="GV57" s="31"/>
      <c r="GW57" s="31"/>
      <c r="GX57" s="31"/>
      <c r="GY57" s="31"/>
      <c r="GZ57" s="31"/>
      <c r="HA57" s="31"/>
      <c r="HB57" s="31"/>
      <c r="HC57" s="31"/>
      <c r="HD57" s="31"/>
      <c r="HE57" s="31"/>
      <c r="HF57" s="31"/>
      <c r="HG57" s="31"/>
      <c r="HH57" s="31"/>
      <c r="HI57" s="31"/>
      <c r="HJ57" s="31"/>
      <c r="HK57" s="31"/>
      <c r="HL57" s="31"/>
      <c r="HM57" s="31"/>
      <c r="HN57" s="31"/>
      <c r="HO57" s="31"/>
      <c r="HP57" s="31"/>
      <c r="HQ57" s="31"/>
      <c r="HR57" s="31"/>
      <c r="HS57" s="31"/>
      <c r="HT57" s="31"/>
      <c r="HU57" s="31"/>
      <c r="HV57" s="31"/>
      <c r="HW57" s="31"/>
      <c r="HX57" s="31"/>
      <c r="HY57" s="31"/>
      <c r="HZ57" s="31"/>
    </row>
    <row r="58" spans="1:234" ht="14.25" customHeight="1" x14ac:dyDescent="0.35">
      <c r="A58" s="55" t="s">
        <v>188</v>
      </c>
      <c r="B58" s="46"/>
      <c r="C58" s="46"/>
      <c r="D58" s="46"/>
      <c r="E58" s="46"/>
      <c r="F58" s="46"/>
      <c r="G58" s="46"/>
      <c r="H58" s="46"/>
      <c r="I58" s="46">
        <f>1763401+239900</f>
        <v>2003301</v>
      </c>
      <c r="J58" s="46"/>
      <c r="K58" s="46"/>
      <c r="L58" s="46"/>
      <c r="M58" s="46"/>
      <c r="N58" s="46"/>
      <c r="O58" s="46"/>
      <c r="P58" s="81"/>
      <c r="Q58" s="81"/>
      <c r="R58" s="81"/>
      <c r="S58" s="27"/>
      <c r="T58" s="30"/>
      <c r="U58" s="27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1"/>
      <c r="BP58" s="31"/>
      <c r="BQ58" s="31"/>
      <c r="BR58" s="31"/>
      <c r="BS58" s="31"/>
      <c r="BT58" s="31"/>
      <c r="BU58" s="31"/>
      <c r="BV58" s="31"/>
      <c r="BW58" s="31"/>
      <c r="BX58" s="31"/>
      <c r="BY58" s="31"/>
      <c r="BZ58" s="31"/>
      <c r="CA58" s="31"/>
      <c r="CB58" s="31"/>
      <c r="CC58" s="31"/>
      <c r="CD58" s="31"/>
      <c r="CE58" s="31"/>
      <c r="CF58" s="31"/>
      <c r="CG58" s="31"/>
      <c r="CH58" s="31"/>
      <c r="CI58" s="31"/>
      <c r="CJ58" s="31"/>
      <c r="CK58" s="31"/>
      <c r="CL58" s="31"/>
      <c r="CM58" s="31"/>
      <c r="CN58" s="31"/>
      <c r="CO58" s="31"/>
      <c r="CP58" s="31"/>
      <c r="CQ58" s="31"/>
      <c r="CR58" s="31"/>
      <c r="CS58" s="31"/>
      <c r="CT58" s="31"/>
      <c r="CU58" s="31"/>
      <c r="CV58" s="31"/>
      <c r="CW58" s="31"/>
      <c r="CX58" s="31"/>
      <c r="CY58" s="31"/>
      <c r="CZ58" s="31"/>
      <c r="DA58" s="31"/>
      <c r="DB58" s="31"/>
      <c r="DC58" s="31"/>
      <c r="DD58" s="31"/>
      <c r="DE58" s="31"/>
      <c r="DF58" s="31"/>
      <c r="DG58" s="31"/>
      <c r="DH58" s="31"/>
      <c r="DI58" s="31"/>
      <c r="DJ58" s="31"/>
      <c r="DK58" s="31"/>
      <c r="DL58" s="31"/>
      <c r="DM58" s="31"/>
      <c r="DN58" s="31"/>
      <c r="DO58" s="31"/>
      <c r="DP58" s="31"/>
      <c r="DQ58" s="31"/>
      <c r="DR58" s="31"/>
      <c r="DS58" s="31"/>
      <c r="DT58" s="31"/>
      <c r="DU58" s="31"/>
      <c r="DV58" s="31"/>
      <c r="DW58" s="31"/>
      <c r="DX58" s="31"/>
      <c r="DY58" s="31"/>
      <c r="DZ58" s="31"/>
      <c r="EA58" s="31"/>
      <c r="EB58" s="31"/>
      <c r="EC58" s="31"/>
      <c r="ED58" s="31"/>
      <c r="EE58" s="31"/>
      <c r="EF58" s="31"/>
      <c r="EG58" s="31"/>
      <c r="EH58" s="31"/>
      <c r="EI58" s="31"/>
      <c r="EJ58" s="31"/>
      <c r="EK58" s="31"/>
      <c r="EL58" s="31"/>
      <c r="EM58" s="31"/>
      <c r="EN58" s="31"/>
      <c r="EO58" s="31"/>
      <c r="EP58" s="31"/>
      <c r="EQ58" s="31"/>
      <c r="ER58" s="31"/>
      <c r="ES58" s="31"/>
      <c r="ET58" s="31"/>
      <c r="EU58" s="31"/>
      <c r="EV58" s="31"/>
      <c r="EW58" s="31"/>
      <c r="EX58" s="31"/>
      <c r="EY58" s="31"/>
      <c r="EZ58" s="31"/>
      <c r="FA58" s="31"/>
      <c r="FB58" s="31"/>
      <c r="FC58" s="31"/>
      <c r="FD58" s="31"/>
      <c r="FE58" s="31"/>
      <c r="FF58" s="31"/>
      <c r="FG58" s="31"/>
      <c r="FH58" s="31"/>
      <c r="FI58" s="31"/>
      <c r="FJ58" s="31"/>
      <c r="FK58" s="31"/>
      <c r="FL58" s="31"/>
      <c r="FM58" s="31"/>
      <c r="FN58" s="31"/>
      <c r="FO58" s="31"/>
      <c r="FP58" s="31"/>
      <c r="FQ58" s="31"/>
      <c r="FR58" s="31"/>
      <c r="FS58" s="31"/>
      <c r="FT58" s="31"/>
      <c r="FU58" s="31"/>
      <c r="FV58" s="31"/>
      <c r="FW58" s="31"/>
      <c r="FX58" s="31"/>
      <c r="FY58" s="31"/>
      <c r="FZ58" s="31"/>
      <c r="GA58" s="31"/>
      <c r="GB58" s="31"/>
      <c r="GC58" s="31"/>
      <c r="GD58" s="31"/>
      <c r="GE58" s="31"/>
      <c r="GF58" s="31"/>
      <c r="GG58" s="31"/>
      <c r="GH58" s="31"/>
      <c r="GI58" s="31"/>
      <c r="GJ58" s="31"/>
      <c r="GK58" s="31"/>
      <c r="GL58" s="31"/>
      <c r="GM58" s="31"/>
      <c r="GN58" s="31"/>
      <c r="GO58" s="31"/>
      <c r="GP58" s="31"/>
      <c r="GQ58" s="31"/>
      <c r="GR58" s="31"/>
      <c r="GS58" s="31"/>
      <c r="GT58" s="31"/>
      <c r="GU58" s="31"/>
      <c r="GV58" s="31"/>
      <c r="GW58" s="31"/>
      <c r="GX58" s="31"/>
      <c r="GY58" s="31"/>
      <c r="GZ58" s="31"/>
      <c r="HA58" s="31"/>
      <c r="HB58" s="31"/>
      <c r="HC58" s="31"/>
      <c r="HD58" s="31"/>
      <c r="HE58" s="31"/>
      <c r="HF58" s="31"/>
      <c r="HG58" s="31"/>
      <c r="HH58" s="31"/>
      <c r="HI58" s="31"/>
      <c r="HJ58" s="31"/>
      <c r="HK58" s="31"/>
      <c r="HL58" s="31"/>
      <c r="HM58" s="31"/>
      <c r="HN58" s="31"/>
      <c r="HO58" s="31"/>
      <c r="HP58" s="31"/>
      <c r="HQ58" s="31"/>
      <c r="HR58" s="31"/>
      <c r="HS58" s="31"/>
      <c r="HT58" s="31"/>
      <c r="HU58" s="31"/>
      <c r="HV58" s="31"/>
      <c r="HW58" s="31"/>
      <c r="HX58" s="31"/>
      <c r="HY58" s="31"/>
      <c r="HZ58" s="31"/>
    </row>
    <row r="59" spans="1:234" ht="14.25" customHeight="1" x14ac:dyDescent="0.35">
      <c r="A59" s="55" t="s">
        <v>185</v>
      </c>
      <c r="B59" s="46"/>
      <c r="C59" s="46"/>
      <c r="D59" s="46"/>
      <c r="E59" s="46"/>
      <c r="F59" s="46">
        <v>1430000</v>
      </c>
      <c r="G59" s="46"/>
      <c r="H59" s="46"/>
      <c r="I59" s="46">
        <v>10000000</v>
      </c>
      <c r="J59" s="46"/>
      <c r="K59" s="46">
        <v>7000000</v>
      </c>
      <c r="L59" s="46"/>
      <c r="M59" s="46"/>
      <c r="N59" s="46"/>
      <c r="O59" s="46"/>
      <c r="P59" s="81"/>
      <c r="Q59" s="81"/>
      <c r="R59" s="81"/>
      <c r="S59" s="27"/>
      <c r="T59" s="30"/>
      <c r="U59" s="27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1"/>
      <c r="BP59" s="31"/>
      <c r="BQ59" s="31"/>
      <c r="BR59" s="31"/>
      <c r="BS59" s="31"/>
      <c r="BT59" s="31"/>
      <c r="BU59" s="31"/>
      <c r="BV59" s="31"/>
      <c r="BW59" s="31"/>
      <c r="BX59" s="31"/>
      <c r="BY59" s="31"/>
      <c r="BZ59" s="31"/>
      <c r="CA59" s="31"/>
      <c r="CB59" s="31"/>
      <c r="CC59" s="31"/>
      <c r="CD59" s="31"/>
      <c r="CE59" s="31"/>
      <c r="CF59" s="31"/>
      <c r="CG59" s="31"/>
      <c r="CH59" s="31"/>
      <c r="CI59" s="31"/>
      <c r="CJ59" s="31"/>
      <c r="CK59" s="31"/>
      <c r="CL59" s="31"/>
      <c r="CM59" s="31"/>
      <c r="CN59" s="31"/>
      <c r="CO59" s="31"/>
      <c r="CP59" s="31"/>
      <c r="CQ59" s="31"/>
      <c r="CR59" s="31"/>
      <c r="CS59" s="31"/>
      <c r="CT59" s="31"/>
      <c r="CU59" s="31"/>
      <c r="CV59" s="31"/>
      <c r="CW59" s="31"/>
      <c r="CX59" s="31"/>
      <c r="CY59" s="31"/>
      <c r="CZ59" s="31"/>
      <c r="DA59" s="31"/>
      <c r="DB59" s="31"/>
      <c r="DC59" s="31"/>
      <c r="DD59" s="31"/>
      <c r="DE59" s="31"/>
      <c r="DF59" s="31"/>
      <c r="DG59" s="31"/>
      <c r="DH59" s="31"/>
      <c r="DI59" s="31"/>
      <c r="DJ59" s="31"/>
      <c r="DK59" s="31"/>
      <c r="DL59" s="31"/>
      <c r="DM59" s="31"/>
      <c r="DN59" s="31"/>
      <c r="DO59" s="31"/>
      <c r="DP59" s="31"/>
      <c r="DQ59" s="31"/>
      <c r="DR59" s="31"/>
      <c r="DS59" s="31"/>
      <c r="DT59" s="31"/>
      <c r="DU59" s="31"/>
      <c r="DV59" s="31"/>
      <c r="DW59" s="31"/>
      <c r="DX59" s="31"/>
      <c r="DY59" s="31"/>
      <c r="DZ59" s="31"/>
      <c r="EA59" s="31"/>
      <c r="EB59" s="31"/>
      <c r="EC59" s="31"/>
      <c r="ED59" s="31"/>
      <c r="EE59" s="31"/>
      <c r="EF59" s="31"/>
      <c r="EG59" s="31"/>
      <c r="EH59" s="31"/>
      <c r="EI59" s="31"/>
      <c r="EJ59" s="31"/>
      <c r="EK59" s="31"/>
      <c r="EL59" s="31"/>
      <c r="EM59" s="31"/>
      <c r="EN59" s="31"/>
      <c r="EO59" s="31"/>
      <c r="EP59" s="31"/>
      <c r="EQ59" s="31"/>
      <c r="ER59" s="31"/>
      <c r="ES59" s="31"/>
      <c r="ET59" s="31"/>
      <c r="EU59" s="31"/>
      <c r="EV59" s="31"/>
      <c r="EW59" s="31"/>
      <c r="EX59" s="31"/>
      <c r="EY59" s="31"/>
      <c r="EZ59" s="31"/>
      <c r="FA59" s="31"/>
      <c r="FB59" s="31"/>
      <c r="FC59" s="31"/>
      <c r="FD59" s="31"/>
      <c r="FE59" s="31"/>
      <c r="FF59" s="31"/>
      <c r="FG59" s="31"/>
      <c r="FH59" s="31"/>
      <c r="FI59" s="31"/>
      <c r="FJ59" s="31"/>
      <c r="FK59" s="31"/>
      <c r="FL59" s="31"/>
      <c r="FM59" s="31"/>
      <c r="FN59" s="31"/>
      <c r="FO59" s="31"/>
      <c r="FP59" s="31"/>
      <c r="FQ59" s="31"/>
      <c r="FR59" s="31"/>
      <c r="FS59" s="31"/>
      <c r="FT59" s="31"/>
      <c r="FU59" s="31"/>
      <c r="FV59" s="31"/>
      <c r="FW59" s="31"/>
      <c r="FX59" s="31"/>
      <c r="FY59" s="31"/>
      <c r="FZ59" s="31"/>
      <c r="GA59" s="31"/>
      <c r="GB59" s="31"/>
      <c r="GC59" s="31"/>
      <c r="GD59" s="31"/>
      <c r="GE59" s="31"/>
      <c r="GF59" s="31"/>
      <c r="GG59" s="31"/>
      <c r="GH59" s="31"/>
      <c r="GI59" s="31"/>
      <c r="GJ59" s="31"/>
      <c r="GK59" s="31"/>
      <c r="GL59" s="31"/>
      <c r="GM59" s="31"/>
      <c r="GN59" s="31"/>
      <c r="GO59" s="31"/>
      <c r="GP59" s="31"/>
      <c r="GQ59" s="31"/>
      <c r="GR59" s="31"/>
      <c r="GS59" s="31"/>
      <c r="GT59" s="31"/>
      <c r="GU59" s="31"/>
      <c r="GV59" s="31"/>
      <c r="GW59" s="31"/>
      <c r="GX59" s="31"/>
      <c r="GY59" s="31"/>
      <c r="GZ59" s="31"/>
      <c r="HA59" s="31"/>
      <c r="HB59" s="31"/>
      <c r="HC59" s="31"/>
      <c r="HD59" s="31"/>
      <c r="HE59" s="31"/>
      <c r="HF59" s="31"/>
      <c r="HG59" s="31"/>
      <c r="HH59" s="31"/>
      <c r="HI59" s="31"/>
      <c r="HJ59" s="31"/>
      <c r="HK59" s="31"/>
      <c r="HL59" s="31"/>
      <c r="HM59" s="31"/>
      <c r="HN59" s="31"/>
      <c r="HO59" s="31"/>
      <c r="HP59" s="31"/>
      <c r="HQ59" s="31"/>
      <c r="HR59" s="31"/>
      <c r="HS59" s="31"/>
      <c r="HT59" s="31"/>
      <c r="HU59" s="31"/>
      <c r="HV59" s="31"/>
      <c r="HW59" s="31"/>
      <c r="HX59" s="31"/>
      <c r="HY59" s="31"/>
      <c r="HZ59" s="31"/>
    </row>
    <row r="60" spans="1:234" ht="14.25" customHeight="1" x14ac:dyDescent="0.35">
      <c r="A60" s="55" t="s">
        <v>104</v>
      </c>
      <c r="B60" s="46"/>
      <c r="C60" s="46"/>
      <c r="D60" s="46"/>
      <c r="E60" s="46">
        <v>774000</v>
      </c>
      <c r="F60" s="46">
        <v>234500</v>
      </c>
      <c r="G60" s="46">
        <v>1330000</v>
      </c>
      <c r="H60" s="46">
        <v>360000</v>
      </c>
      <c r="I60" s="46">
        <v>276000</v>
      </c>
      <c r="J60" s="46">
        <v>950000</v>
      </c>
      <c r="K60" s="46"/>
      <c r="L60" s="46"/>
      <c r="M60" s="46"/>
      <c r="N60" s="46"/>
      <c r="O60" s="46"/>
      <c r="P60" s="47"/>
      <c r="Q60" s="47"/>
      <c r="R60" s="47"/>
      <c r="S60" s="27"/>
      <c r="T60" s="30"/>
      <c r="U60" s="27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31"/>
      <c r="BS60" s="31"/>
      <c r="BT60" s="31"/>
      <c r="BU60" s="31"/>
      <c r="BV60" s="31"/>
      <c r="BW60" s="31"/>
      <c r="BX60" s="31"/>
      <c r="BY60" s="31"/>
      <c r="BZ60" s="31"/>
      <c r="CA60" s="31"/>
      <c r="CB60" s="31"/>
      <c r="CC60" s="31"/>
      <c r="CD60" s="31"/>
      <c r="CE60" s="31"/>
      <c r="CF60" s="31"/>
      <c r="CG60" s="31"/>
      <c r="CH60" s="31"/>
      <c r="CI60" s="31"/>
      <c r="CJ60" s="31"/>
      <c r="CK60" s="31"/>
      <c r="CL60" s="31"/>
      <c r="CM60" s="31"/>
      <c r="CN60" s="31"/>
      <c r="CO60" s="31"/>
      <c r="CP60" s="31"/>
      <c r="CQ60" s="31"/>
      <c r="CR60" s="31"/>
      <c r="CS60" s="31"/>
      <c r="CT60" s="31"/>
      <c r="CU60" s="31"/>
      <c r="CV60" s="31"/>
      <c r="CW60" s="31"/>
      <c r="CX60" s="31"/>
      <c r="CY60" s="31"/>
      <c r="CZ60" s="31"/>
      <c r="DA60" s="31"/>
      <c r="DB60" s="31"/>
      <c r="DC60" s="31"/>
      <c r="DD60" s="31"/>
      <c r="DE60" s="31"/>
      <c r="DF60" s="31"/>
      <c r="DG60" s="31"/>
      <c r="DH60" s="31"/>
      <c r="DI60" s="31"/>
      <c r="DJ60" s="31"/>
      <c r="DK60" s="31"/>
      <c r="DL60" s="31"/>
      <c r="DM60" s="31"/>
      <c r="DN60" s="31"/>
      <c r="DO60" s="31"/>
      <c r="DP60" s="31"/>
      <c r="DQ60" s="31"/>
      <c r="DR60" s="31"/>
      <c r="DS60" s="31"/>
      <c r="DT60" s="31"/>
      <c r="DU60" s="31"/>
      <c r="DV60" s="31"/>
      <c r="DW60" s="31"/>
      <c r="DX60" s="31"/>
      <c r="DY60" s="31"/>
      <c r="DZ60" s="31"/>
      <c r="EA60" s="31"/>
      <c r="EB60" s="31"/>
      <c r="EC60" s="31"/>
      <c r="ED60" s="31"/>
      <c r="EE60" s="31"/>
      <c r="EF60" s="31"/>
      <c r="EG60" s="31"/>
      <c r="EH60" s="31"/>
      <c r="EI60" s="31"/>
      <c r="EJ60" s="31"/>
      <c r="EK60" s="31"/>
      <c r="EL60" s="31"/>
      <c r="EM60" s="31"/>
      <c r="EN60" s="31"/>
      <c r="EO60" s="31"/>
      <c r="EP60" s="31"/>
      <c r="EQ60" s="31"/>
      <c r="ER60" s="31"/>
      <c r="ES60" s="31"/>
      <c r="ET60" s="31"/>
      <c r="EU60" s="31"/>
      <c r="EV60" s="31"/>
      <c r="EW60" s="31"/>
      <c r="EX60" s="31"/>
      <c r="EY60" s="31"/>
      <c r="EZ60" s="31"/>
      <c r="FA60" s="31"/>
      <c r="FB60" s="31"/>
      <c r="FC60" s="31"/>
      <c r="FD60" s="31"/>
      <c r="FE60" s="31"/>
      <c r="FF60" s="31"/>
      <c r="FG60" s="31"/>
      <c r="FH60" s="31"/>
      <c r="FI60" s="31"/>
      <c r="FJ60" s="31"/>
      <c r="FK60" s="31"/>
      <c r="FL60" s="31"/>
      <c r="FM60" s="31"/>
      <c r="FN60" s="31"/>
      <c r="FO60" s="31"/>
      <c r="FP60" s="31"/>
      <c r="FQ60" s="31"/>
      <c r="FR60" s="31"/>
      <c r="FS60" s="31"/>
      <c r="FT60" s="31"/>
      <c r="FU60" s="31"/>
      <c r="FV60" s="31"/>
      <c r="FW60" s="31"/>
      <c r="FX60" s="31"/>
      <c r="FY60" s="31"/>
      <c r="FZ60" s="31"/>
      <c r="GA60" s="31"/>
      <c r="GB60" s="31"/>
      <c r="GC60" s="31"/>
      <c r="GD60" s="31"/>
      <c r="GE60" s="31"/>
      <c r="GF60" s="31"/>
      <c r="GG60" s="31"/>
      <c r="GH60" s="31"/>
      <c r="GI60" s="31"/>
      <c r="GJ60" s="31"/>
      <c r="GK60" s="31"/>
      <c r="GL60" s="31"/>
      <c r="GM60" s="31"/>
      <c r="GN60" s="31"/>
      <c r="GO60" s="31"/>
      <c r="GP60" s="31"/>
      <c r="GQ60" s="31"/>
      <c r="GR60" s="31"/>
      <c r="GS60" s="31"/>
      <c r="GT60" s="31"/>
      <c r="GU60" s="31"/>
      <c r="GV60" s="31"/>
      <c r="GW60" s="31"/>
      <c r="GX60" s="31"/>
      <c r="GY60" s="31"/>
      <c r="GZ60" s="31"/>
      <c r="HA60" s="31"/>
      <c r="HB60" s="31"/>
      <c r="HC60" s="31"/>
      <c r="HD60" s="31"/>
      <c r="HE60" s="31"/>
      <c r="HF60" s="31"/>
      <c r="HG60" s="31"/>
      <c r="HH60" s="31"/>
      <c r="HI60" s="31"/>
      <c r="HJ60" s="31"/>
      <c r="HK60" s="31"/>
      <c r="HL60" s="31"/>
      <c r="HM60" s="31"/>
      <c r="HN60" s="31"/>
      <c r="HO60" s="31"/>
      <c r="HP60" s="31"/>
      <c r="HQ60" s="31"/>
      <c r="HR60" s="31"/>
      <c r="HS60" s="31"/>
      <c r="HT60" s="31"/>
      <c r="HU60" s="31"/>
      <c r="HV60" s="31"/>
      <c r="HW60" s="31"/>
      <c r="HX60" s="31"/>
      <c r="HY60" s="31"/>
      <c r="HZ60" s="31"/>
    </row>
    <row r="61" spans="1:234" ht="14.25" customHeight="1" x14ac:dyDescent="0.35">
      <c r="A61" s="55" t="s">
        <v>105</v>
      </c>
      <c r="B61" s="46"/>
      <c r="C61" s="46"/>
      <c r="D61" s="27"/>
      <c r="E61" s="46"/>
      <c r="F61" s="46">
        <f>185000+364000</f>
        <v>549000</v>
      </c>
      <c r="G61" s="3"/>
      <c r="H61" s="46"/>
      <c r="I61" s="46"/>
      <c r="J61" s="46"/>
      <c r="K61" s="46">
        <v>500000</v>
      </c>
      <c r="L61" s="46">
        <v>500000</v>
      </c>
      <c r="M61" s="46">
        <v>500000</v>
      </c>
      <c r="N61" s="46">
        <v>500000</v>
      </c>
      <c r="O61" s="46">
        <v>500000</v>
      </c>
      <c r="P61" s="47"/>
      <c r="Q61" s="47"/>
      <c r="R61" s="47"/>
      <c r="S61" s="27"/>
      <c r="T61" s="30"/>
      <c r="U61" s="27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31"/>
      <c r="BR61" s="31"/>
      <c r="BS61" s="31"/>
      <c r="BT61" s="31"/>
      <c r="BU61" s="31"/>
      <c r="BV61" s="31"/>
      <c r="BW61" s="31"/>
      <c r="BX61" s="31"/>
      <c r="BY61" s="31"/>
      <c r="BZ61" s="31"/>
      <c r="CA61" s="31"/>
      <c r="CB61" s="31"/>
      <c r="CC61" s="31"/>
      <c r="CD61" s="31"/>
      <c r="CE61" s="31"/>
      <c r="CF61" s="31"/>
      <c r="CG61" s="31"/>
      <c r="CH61" s="31"/>
      <c r="CI61" s="31"/>
      <c r="CJ61" s="31"/>
      <c r="CK61" s="31"/>
      <c r="CL61" s="31"/>
      <c r="CM61" s="31"/>
      <c r="CN61" s="31"/>
      <c r="CO61" s="31"/>
      <c r="CP61" s="31"/>
      <c r="CQ61" s="31"/>
      <c r="CR61" s="31"/>
      <c r="CS61" s="31"/>
      <c r="CT61" s="31"/>
      <c r="CU61" s="31"/>
      <c r="CV61" s="31"/>
      <c r="CW61" s="31"/>
      <c r="CX61" s="31"/>
      <c r="CY61" s="31"/>
      <c r="CZ61" s="31"/>
      <c r="DA61" s="31"/>
      <c r="DB61" s="31"/>
      <c r="DC61" s="31"/>
      <c r="DD61" s="31"/>
      <c r="DE61" s="31"/>
      <c r="DF61" s="31"/>
      <c r="DG61" s="31"/>
      <c r="DH61" s="31"/>
      <c r="DI61" s="31"/>
      <c r="DJ61" s="31"/>
      <c r="DK61" s="31"/>
      <c r="DL61" s="31"/>
      <c r="DM61" s="31"/>
      <c r="DN61" s="31"/>
      <c r="DO61" s="31"/>
      <c r="DP61" s="31"/>
      <c r="DQ61" s="31"/>
      <c r="DR61" s="31"/>
      <c r="DS61" s="31"/>
      <c r="DT61" s="31"/>
      <c r="DU61" s="31"/>
      <c r="DV61" s="31"/>
      <c r="DW61" s="31"/>
      <c r="DX61" s="31"/>
      <c r="DY61" s="31"/>
      <c r="DZ61" s="31"/>
      <c r="EA61" s="31"/>
      <c r="EB61" s="31"/>
      <c r="EC61" s="31"/>
      <c r="ED61" s="31"/>
      <c r="EE61" s="31"/>
      <c r="EF61" s="31"/>
      <c r="EG61" s="31"/>
      <c r="EH61" s="31"/>
      <c r="EI61" s="31"/>
      <c r="EJ61" s="31"/>
      <c r="EK61" s="31"/>
      <c r="EL61" s="31"/>
      <c r="EM61" s="31"/>
      <c r="EN61" s="31"/>
      <c r="EO61" s="31"/>
      <c r="EP61" s="31"/>
      <c r="EQ61" s="31"/>
      <c r="ER61" s="31"/>
      <c r="ES61" s="31"/>
      <c r="ET61" s="31"/>
      <c r="EU61" s="31"/>
      <c r="EV61" s="31"/>
      <c r="EW61" s="31"/>
      <c r="EX61" s="31"/>
      <c r="EY61" s="31"/>
      <c r="EZ61" s="31"/>
      <c r="FA61" s="31"/>
      <c r="FB61" s="31"/>
      <c r="FC61" s="31"/>
      <c r="FD61" s="31"/>
      <c r="FE61" s="31"/>
      <c r="FF61" s="31"/>
      <c r="FG61" s="31"/>
      <c r="FH61" s="31"/>
      <c r="FI61" s="31"/>
      <c r="FJ61" s="31"/>
      <c r="FK61" s="31"/>
      <c r="FL61" s="31"/>
      <c r="FM61" s="31"/>
      <c r="FN61" s="31"/>
      <c r="FO61" s="31"/>
      <c r="FP61" s="31"/>
      <c r="FQ61" s="31"/>
      <c r="FR61" s="31"/>
      <c r="FS61" s="31"/>
      <c r="FT61" s="31"/>
      <c r="FU61" s="31"/>
      <c r="FV61" s="31"/>
      <c r="FW61" s="31"/>
      <c r="FX61" s="31"/>
      <c r="FY61" s="31"/>
      <c r="FZ61" s="31"/>
      <c r="GA61" s="31"/>
      <c r="GB61" s="31"/>
      <c r="GC61" s="31"/>
      <c r="GD61" s="31"/>
      <c r="GE61" s="31"/>
      <c r="GF61" s="31"/>
      <c r="GG61" s="31"/>
      <c r="GH61" s="31"/>
      <c r="GI61" s="31"/>
      <c r="GJ61" s="31"/>
      <c r="GK61" s="31"/>
      <c r="GL61" s="31"/>
      <c r="GM61" s="31"/>
      <c r="GN61" s="31"/>
      <c r="GO61" s="31"/>
      <c r="GP61" s="31"/>
      <c r="GQ61" s="31"/>
      <c r="GR61" s="31"/>
      <c r="GS61" s="31"/>
      <c r="GT61" s="31"/>
      <c r="GU61" s="31"/>
      <c r="GV61" s="31"/>
      <c r="GW61" s="31"/>
      <c r="GX61" s="31"/>
      <c r="GY61" s="31"/>
      <c r="GZ61" s="31"/>
      <c r="HA61" s="31"/>
      <c r="HB61" s="31"/>
      <c r="HC61" s="31"/>
      <c r="HD61" s="31"/>
      <c r="HE61" s="31"/>
      <c r="HF61" s="31"/>
      <c r="HG61" s="31"/>
      <c r="HH61" s="31"/>
      <c r="HI61" s="31"/>
      <c r="HJ61" s="31"/>
      <c r="HK61" s="31"/>
      <c r="HL61" s="31"/>
      <c r="HM61" s="31"/>
      <c r="HN61" s="31"/>
      <c r="HO61" s="31"/>
      <c r="HP61" s="31"/>
      <c r="HQ61" s="31"/>
      <c r="HR61" s="31"/>
      <c r="HS61" s="31"/>
      <c r="HT61" s="31"/>
      <c r="HU61" s="31"/>
      <c r="HV61" s="31"/>
      <c r="HW61" s="31"/>
      <c r="HX61" s="31"/>
      <c r="HY61" s="31"/>
      <c r="HZ61" s="31"/>
    </row>
    <row r="62" spans="1:234" ht="14.25" customHeight="1" x14ac:dyDescent="0.35">
      <c r="A62" s="55" t="s">
        <v>186</v>
      </c>
      <c r="B62" s="46"/>
      <c r="C62" s="46"/>
      <c r="D62" s="3"/>
      <c r="E62" s="46"/>
      <c r="F62" s="46"/>
      <c r="G62" s="46"/>
      <c r="H62" s="46"/>
      <c r="I62" s="46">
        <f>4000000+1769000</f>
        <v>5769000</v>
      </c>
      <c r="J62" s="46"/>
      <c r="K62" s="46"/>
      <c r="L62" s="46"/>
      <c r="M62" s="46"/>
      <c r="N62" s="46"/>
      <c r="O62" s="46"/>
      <c r="P62" s="47"/>
      <c r="Q62" s="47"/>
      <c r="R62" s="47"/>
      <c r="S62" s="27"/>
      <c r="T62" s="30"/>
      <c r="U62" s="27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1"/>
      <c r="BP62" s="31"/>
      <c r="BQ62" s="31"/>
      <c r="BR62" s="31"/>
      <c r="BS62" s="31"/>
      <c r="BT62" s="31"/>
      <c r="BU62" s="31"/>
      <c r="BV62" s="31"/>
      <c r="BW62" s="31"/>
      <c r="BX62" s="31"/>
      <c r="BY62" s="31"/>
      <c r="BZ62" s="31"/>
      <c r="CA62" s="31"/>
      <c r="CB62" s="31"/>
      <c r="CC62" s="31"/>
      <c r="CD62" s="31"/>
      <c r="CE62" s="31"/>
      <c r="CF62" s="31"/>
      <c r="CG62" s="31"/>
      <c r="CH62" s="31"/>
      <c r="CI62" s="31"/>
      <c r="CJ62" s="31"/>
      <c r="CK62" s="31"/>
      <c r="CL62" s="31"/>
      <c r="CM62" s="31"/>
      <c r="CN62" s="31"/>
      <c r="CO62" s="31"/>
      <c r="CP62" s="31"/>
      <c r="CQ62" s="31"/>
      <c r="CR62" s="31"/>
      <c r="CS62" s="31"/>
      <c r="CT62" s="31"/>
      <c r="CU62" s="31"/>
      <c r="CV62" s="31"/>
      <c r="CW62" s="31"/>
      <c r="CX62" s="31"/>
      <c r="CY62" s="31"/>
      <c r="CZ62" s="31"/>
      <c r="DA62" s="31"/>
      <c r="DB62" s="31"/>
      <c r="DC62" s="31"/>
      <c r="DD62" s="31"/>
      <c r="DE62" s="31"/>
      <c r="DF62" s="31"/>
      <c r="DG62" s="31"/>
      <c r="DH62" s="31"/>
      <c r="DI62" s="31"/>
      <c r="DJ62" s="31"/>
      <c r="DK62" s="31"/>
      <c r="DL62" s="31"/>
      <c r="DM62" s="31"/>
      <c r="DN62" s="31"/>
      <c r="DO62" s="31"/>
      <c r="DP62" s="31"/>
      <c r="DQ62" s="31"/>
      <c r="DR62" s="31"/>
      <c r="DS62" s="31"/>
      <c r="DT62" s="31"/>
      <c r="DU62" s="31"/>
      <c r="DV62" s="31"/>
      <c r="DW62" s="31"/>
      <c r="DX62" s="31"/>
      <c r="DY62" s="31"/>
      <c r="DZ62" s="31"/>
      <c r="EA62" s="31"/>
      <c r="EB62" s="31"/>
      <c r="EC62" s="31"/>
      <c r="ED62" s="31"/>
      <c r="EE62" s="31"/>
      <c r="EF62" s="31"/>
      <c r="EG62" s="31"/>
      <c r="EH62" s="31"/>
      <c r="EI62" s="31"/>
      <c r="EJ62" s="31"/>
      <c r="EK62" s="31"/>
      <c r="EL62" s="31"/>
      <c r="EM62" s="31"/>
      <c r="EN62" s="31"/>
      <c r="EO62" s="31"/>
      <c r="EP62" s="31"/>
      <c r="EQ62" s="31"/>
      <c r="ER62" s="31"/>
      <c r="ES62" s="31"/>
      <c r="ET62" s="31"/>
      <c r="EU62" s="31"/>
      <c r="EV62" s="31"/>
      <c r="EW62" s="31"/>
      <c r="EX62" s="31"/>
      <c r="EY62" s="31"/>
      <c r="EZ62" s="31"/>
      <c r="FA62" s="31"/>
      <c r="FB62" s="31"/>
      <c r="FC62" s="31"/>
      <c r="FD62" s="31"/>
      <c r="FE62" s="31"/>
      <c r="FF62" s="31"/>
      <c r="FG62" s="31"/>
      <c r="FH62" s="31"/>
      <c r="FI62" s="31"/>
      <c r="FJ62" s="31"/>
      <c r="FK62" s="31"/>
      <c r="FL62" s="31"/>
      <c r="FM62" s="31"/>
      <c r="FN62" s="31"/>
      <c r="FO62" s="31"/>
      <c r="FP62" s="31"/>
      <c r="FQ62" s="31"/>
      <c r="FR62" s="31"/>
      <c r="FS62" s="31"/>
      <c r="FT62" s="31"/>
      <c r="FU62" s="31"/>
      <c r="FV62" s="31"/>
      <c r="FW62" s="31"/>
      <c r="FX62" s="31"/>
      <c r="FY62" s="31"/>
      <c r="FZ62" s="31"/>
      <c r="GA62" s="31"/>
      <c r="GB62" s="31"/>
      <c r="GC62" s="31"/>
      <c r="GD62" s="31"/>
      <c r="GE62" s="31"/>
      <c r="GF62" s="31"/>
      <c r="GG62" s="31"/>
      <c r="GH62" s="31"/>
      <c r="GI62" s="31"/>
      <c r="GJ62" s="31"/>
      <c r="GK62" s="31"/>
      <c r="GL62" s="31"/>
      <c r="GM62" s="31"/>
      <c r="GN62" s="31"/>
      <c r="GO62" s="31"/>
      <c r="GP62" s="31"/>
      <c r="GQ62" s="31"/>
      <c r="GR62" s="31"/>
      <c r="GS62" s="31"/>
      <c r="GT62" s="31"/>
      <c r="GU62" s="31"/>
      <c r="GV62" s="31"/>
      <c r="GW62" s="31"/>
      <c r="GX62" s="31"/>
      <c r="GY62" s="31"/>
      <c r="GZ62" s="31"/>
      <c r="HA62" s="31"/>
      <c r="HB62" s="31"/>
      <c r="HC62" s="31"/>
      <c r="HD62" s="31"/>
      <c r="HE62" s="31"/>
      <c r="HF62" s="31"/>
      <c r="HG62" s="31"/>
      <c r="HH62" s="31"/>
      <c r="HI62" s="31"/>
      <c r="HJ62" s="31"/>
      <c r="HK62" s="31"/>
      <c r="HL62" s="31"/>
      <c r="HM62" s="31"/>
      <c r="HN62" s="31"/>
      <c r="HO62" s="31"/>
      <c r="HP62" s="31"/>
      <c r="HQ62" s="31"/>
      <c r="HR62" s="31"/>
      <c r="HS62" s="31"/>
      <c r="HT62" s="31"/>
      <c r="HU62" s="31"/>
      <c r="HV62" s="31"/>
      <c r="HW62" s="31"/>
      <c r="HX62" s="31"/>
      <c r="HY62" s="31"/>
      <c r="HZ62" s="31"/>
    </row>
    <row r="63" spans="1:234" ht="14.25" customHeight="1" x14ac:dyDescent="0.35">
      <c r="A63" s="55" t="s">
        <v>106</v>
      </c>
      <c r="B63" s="46"/>
      <c r="C63" s="46"/>
      <c r="D63" s="46"/>
      <c r="E63" s="46">
        <v>800000</v>
      </c>
      <c r="F63" s="46">
        <v>800000</v>
      </c>
      <c r="G63" s="46">
        <v>900000</v>
      </c>
      <c r="H63" s="46">
        <v>900000</v>
      </c>
      <c r="I63" s="46">
        <v>2260000</v>
      </c>
      <c r="J63" s="46">
        <v>7120000</v>
      </c>
      <c r="K63" s="46"/>
      <c r="L63" s="46"/>
      <c r="M63" s="46"/>
      <c r="N63" s="46"/>
      <c r="O63" s="46"/>
      <c r="P63" s="47"/>
      <c r="Q63" s="47"/>
      <c r="R63" s="47"/>
      <c r="S63" s="27"/>
      <c r="T63" s="30"/>
      <c r="U63" s="27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1"/>
      <c r="BP63" s="31"/>
      <c r="BQ63" s="31"/>
      <c r="BR63" s="31"/>
      <c r="BS63" s="31"/>
      <c r="BT63" s="31"/>
      <c r="BU63" s="31"/>
      <c r="BV63" s="31"/>
      <c r="BW63" s="31"/>
      <c r="BX63" s="31"/>
      <c r="BY63" s="31"/>
      <c r="BZ63" s="31"/>
      <c r="CA63" s="31"/>
      <c r="CB63" s="31"/>
      <c r="CC63" s="31"/>
      <c r="CD63" s="31"/>
      <c r="CE63" s="31"/>
      <c r="CF63" s="31"/>
      <c r="CG63" s="31"/>
      <c r="CH63" s="31"/>
      <c r="CI63" s="31"/>
      <c r="CJ63" s="31"/>
      <c r="CK63" s="31"/>
      <c r="CL63" s="31"/>
      <c r="CM63" s="31"/>
      <c r="CN63" s="31"/>
      <c r="CO63" s="31"/>
      <c r="CP63" s="31"/>
      <c r="CQ63" s="31"/>
      <c r="CR63" s="31"/>
      <c r="CS63" s="31"/>
      <c r="CT63" s="31"/>
      <c r="CU63" s="31"/>
      <c r="CV63" s="31"/>
      <c r="CW63" s="31"/>
      <c r="CX63" s="31"/>
      <c r="CY63" s="31"/>
      <c r="CZ63" s="31"/>
      <c r="DA63" s="31"/>
      <c r="DB63" s="31"/>
      <c r="DC63" s="31"/>
      <c r="DD63" s="31"/>
      <c r="DE63" s="31"/>
      <c r="DF63" s="31"/>
      <c r="DG63" s="31"/>
      <c r="DH63" s="31"/>
      <c r="DI63" s="31"/>
      <c r="DJ63" s="31"/>
      <c r="DK63" s="31"/>
      <c r="DL63" s="31"/>
      <c r="DM63" s="31"/>
      <c r="DN63" s="31"/>
      <c r="DO63" s="31"/>
      <c r="DP63" s="31"/>
      <c r="DQ63" s="31"/>
      <c r="DR63" s="31"/>
      <c r="DS63" s="31"/>
      <c r="DT63" s="31"/>
      <c r="DU63" s="31"/>
      <c r="DV63" s="31"/>
      <c r="DW63" s="31"/>
      <c r="DX63" s="31"/>
      <c r="DY63" s="31"/>
      <c r="DZ63" s="31"/>
      <c r="EA63" s="31"/>
      <c r="EB63" s="31"/>
      <c r="EC63" s="31"/>
      <c r="ED63" s="31"/>
      <c r="EE63" s="31"/>
      <c r="EF63" s="31"/>
      <c r="EG63" s="31"/>
      <c r="EH63" s="31"/>
      <c r="EI63" s="31"/>
      <c r="EJ63" s="31"/>
      <c r="EK63" s="31"/>
      <c r="EL63" s="31"/>
      <c r="EM63" s="31"/>
      <c r="EN63" s="31"/>
      <c r="EO63" s="31"/>
      <c r="EP63" s="31"/>
      <c r="EQ63" s="31"/>
      <c r="ER63" s="31"/>
      <c r="ES63" s="31"/>
      <c r="ET63" s="31"/>
      <c r="EU63" s="31"/>
      <c r="EV63" s="31"/>
      <c r="EW63" s="31"/>
      <c r="EX63" s="31"/>
      <c r="EY63" s="31"/>
      <c r="EZ63" s="31"/>
      <c r="FA63" s="31"/>
      <c r="FB63" s="31"/>
      <c r="FC63" s="31"/>
      <c r="FD63" s="31"/>
      <c r="FE63" s="31"/>
      <c r="FF63" s="31"/>
      <c r="FG63" s="31"/>
      <c r="FH63" s="31"/>
      <c r="FI63" s="31"/>
      <c r="FJ63" s="31"/>
      <c r="FK63" s="31"/>
      <c r="FL63" s="31"/>
      <c r="FM63" s="31"/>
      <c r="FN63" s="31"/>
      <c r="FO63" s="31"/>
      <c r="FP63" s="31"/>
      <c r="FQ63" s="31"/>
      <c r="FR63" s="31"/>
      <c r="FS63" s="31"/>
      <c r="FT63" s="31"/>
      <c r="FU63" s="31"/>
      <c r="FV63" s="31"/>
      <c r="FW63" s="31"/>
      <c r="FX63" s="31"/>
      <c r="FY63" s="31"/>
      <c r="FZ63" s="31"/>
      <c r="GA63" s="31"/>
      <c r="GB63" s="31"/>
      <c r="GC63" s="31"/>
      <c r="GD63" s="31"/>
      <c r="GE63" s="31"/>
      <c r="GF63" s="31"/>
      <c r="GG63" s="31"/>
      <c r="GH63" s="31"/>
      <c r="GI63" s="31"/>
      <c r="GJ63" s="31"/>
      <c r="GK63" s="31"/>
      <c r="GL63" s="31"/>
      <c r="GM63" s="31"/>
      <c r="GN63" s="31"/>
      <c r="GO63" s="31"/>
      <c r="GP63" s="31"/>
      <c r="GQ63" s="31"/>
      <c r="GR63" s="31"/>
      <c r="GS63" s="31"/>
      <c r="GT63" s="31"/>
      <c r="GU63" s="31"/>
      <c r="GV63" s="31"/>
      <c r="GW63" s="31"/>
      <c r="GX63" s="31"/>
      <c r="GY63" s="31"/>
      <c r="GZ63" s="31"/>
      <c r="HA63" s="31"/>
      <c r="HB63" s="31"/>
      <c r="HC63" s="31"/>
      <c r="HD63" s="31"/>
      <c r="HE63" s="31"/>
      <c r="HF63" s="31"/>
      <c r="HG63" s="31"/>
      <c r="HH63" s="31"/>
      <c r="HI63" s="31"/>
      <c r="HJ63" s="31"/>
      <c r="HK63" s="31"/>
      <c r="HL63" s="31"/>
      <c r="HM63" s="31"/>
      <c r="HN63" s="31"/>
      <c r="HO63" s="31"/>
      <c r="HP63" s="31"/>
      <c r="HQ63" s="31"/>
      <c r="HR63" s="31"/>
      <c r="HS63" s="31"/>
      <c r="HT63" s="31"/>
      <c r="HU63" s="31"/>
      <c r="HV63" s="31"/>
      <c r="HW63" s="31"/>
      <c r="HX63" s="31"/>
      <c r="HY63" s="31"/>
      <c r="HZ63" s="31"/>
    </row>
    <row r="64" spans="1:234" ht="14.25" customHeight="1" x14ac:dyDescent="0.35">
      <c r="A64" s="55" t="s">
        <v>107</v>
      </c>
      <c r="B64" s="46"/>
      <c r="C64" s="46"/>
      <c r="D64" s="46"/>
      <c r="E64" s="46">
        <v>4500000</v>
      </c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7"/>
      <c r="Q64" s="47"/>
      <c r="R64" s="47"/>
      <c r="S64" s="27"/>
      <c r="T64" s="30"/>
      <c r="U64" s="27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1"/>
      <c r="BP64" s="31"/>
      <c r="BQ64" s="31"/>
      <c r="BR64" s="31"/>
      <c r="BS64" s="31"/>
      <c r="BT64" s="31"/>
      <c r="BU64" s="31"/>
      <c r="BV64" s="31"/>
      <c r="BW64" s="31"/>
      <c r="BX64" s="31"/>
      <c r="BY64" s="31"/>
      <c r="BZ64" s="31"/>
      <c r="CA64" s="31"/>
      <c r="CB64" s="31"/>
      <c r="CC64" s="31"/>
      <c r="CD64" s="31"/>
      <c r="CE64" s="31"/>
      <c r="CF64" s="31"/>
      <c r="CG64" s="31"/>
      <c r="CH64" s="31"/>
      <c r="CI64" s="31"/>
      <c r="CJ64" s="31"/>
      <c r="CK64" s="31"/>
      <c r="CL64" s="31"/>
      <c r="CM64" s="31"/>
      <c r="CN64" s="31"/>
      <c r="CO64" s="31"/>
      <c r="CP64" s="31"/>
      <c r="CQ64" s="31"/>
      <c r="CR64" s="31"/>
      <c r="CS64" s="31"/>
      <c r="CT64" s="31"/>
      <c r="CU64" s="31"/>
      <c r="CV64" s="31"/>
      <c r="CW64" s="31"/>
      <c r="CX64" s="31"/>
      <c r="CY64" s="31"/>
      <c r="CZ64" s="31"/>
      <c r="DA64" s="31"/>
      <c r="DB64" s="31"/>
      <c r="DC64" s="31"/>
      <c r="DD64" s="31"/>
      <c r="DE64" s="31"/>
      <c r="DF64" s="31"/>
      <c r="DG64" s="31"/>
      <c r="DH64" s="31"/>
      <c r="DI64" s="31"/>
      <c r="DJ64" s="31"/>
      <c r="DK64" s="31"/>
      <c r="DL64" s="31"/>
      <c r="DM64" s="31"/>
      <c r="DN64" s="31"/>
      <c r="DO64" s="31"/>
      <c r="DP64" s="31"/>
      <c r="DQ64" s="31"/>
      <c r="DR64" s="31"/>
      <c r="DS64" s="31"/>
      <c r="DT64" s="31"/>
      <c r="DU64" s="31"/>
      <c r="DV64" s="31"/>
      <c r="DW64" s="31"/>
      <c r="DX64" s="31"/>
      <c r="DY64" s="31"/>
      <c r="DZ64" s="31"/>
      <c r="EA64" s="31"/>
      <c r="EB64" s="31"/>
      <c r="EC64" s="31"/>
      <c r="ED64" s="31"/>
      <c r="EE64" s="31"/>
      <c r="EF64" s="31"/>
      <c r="EG64" s="31"/>
      <c r="EH64" s="31"/>
      <c r="EI64" s="31"/>
      <c r="EJ64" s="31"/>
      <c r="EK64" s="31"/>
      <c r="EL64" s="31"/>
      <c r="EM64" s="31"/>
      <c r="EN64" s="31"/>
      <c r="EO64" s="31"/>
      <c r="EP64" s="31"/>
      <c r="EQ64" s="31"/>
      <c r="ER64" s="31"/>
      <c r="ES64" s="31"/>
      <c r="ET64" s="31"/>
      <c r="EU64" s="31"/>
      <c r="EV64" s="31"/>
      <c r="EW64" s="31"/>
      <c r="EX64" s="31"/>
      <c r="EY64" s="31"/>
      <c r="EZ64" s="31"/>
      <c r="FA64" s="31"/>
      <c r="FB64" s="31"/>
      <c r="FC64" s="31"/>
      <c r="FD64" s="31"/>
      <c r="FE64" s="31"/>
      <c r="FF64" s="31"/>
      <c r="FG64" s="31"/>
      <c r="FH64" s="31"/>
      <c r="FI64" s="31"/>
      <c r="FJ64" s="31"/>
      <c r="FK64" s="31"/>
      <c r="FL64" s="31"/>
      <c r="FM64" s="31"/>
      <c r="FN64" s="31"/>
      <c r="FO64" s="31"/>
      <c r="FP64" s="31"/>
      <c r="FQ64" s="31"/>
      <c r="FR64" s="31"/>
      <c r="FS64" s="31"/>
      <c r="FT64" s="31"/>
      <c r="FU64" s="31"/>
      <c r="FV64" s="31"/>
      <c r="FW64" s="31"/>
      <c r="FX64" s="31"/>
      <c r="FY64" s="31"/>
      <c r="FZ64" s="31"/>
      <c r="GA64" s="31"/>
      <c r="GB64" s="31"/>
      <c r="GC64" s="31"/>
      <c r="GD64" s="31"/>
      <c r="GE64" s="31"/>
      <c r="GF64" s="31"/>
      <c r="GG64" s="31"/>
      <c r="GH64" s="31"/>
      <c r="GI64" s="31"/>
      <c r="GJ64" s="31"/>
      <c r="GK64" s="31"/>
      <c r="GL64" s="31"/>
      <c r="GM64" s="31"/>
      <c r="GN64" s="31"/>
      <c r="GO64" s="31"/>
      <c r="GP64" s="31"/>
      <c r="GQ64" s="31"/>
      <c r="GR64" s="31"/>
      <c r="GS64" s="31"/>
      <c r="GT64" s="31"/>
      <c r="GU64" s="31"/>
      <c r="GV64" s="31"/>
      <c r="GW64" s="31"/>
      <c r="GX64" s="31"/>
      <c r="GY64" s="31"/>
      <c r="GZ64" s="31"/>
      <c r="HA64" s="31"/>
      <c r="HB64" s="31"/>
      <c r="HC64" s="31"/>
      <c r="HD64" s="31"/>
      <c r="HE64" s="31"/>
      <c r="HF64" s="31"/>
      <c r="HG64" s="31"/>
      <c r="HH64" s="31"/>
      <c r="HI64" s="31"/>
      <c r="HJ64" s="31"/>
      <c r="HK64" s="31"/>
      <c r="HL64" s="31"/>
      <c r="HM64" s="31"/>
      <c r="HN64" s="31"/>
      <c r="HO64" s="31"/>
      <c r="HP64" s="31"/>
      <c r="HQ64" s="31"/>
      <c r="HR64" s="31"/>
      <c r="HS64" s="31"/>
      <c r="HT64" s="31"/>
      <c r="HU64" s="31"/>
      <c r="HV64" s="31"/>
      <c r="HW64" s="31"/>
      <c r="HX64" s="31"/>
      <c r="HY64" s="31"/>
      <c r="HZ64" s="31"/>
    </row>
    <row r="65" spans="1:234" ht="14.25" customHeight="1" x14ac:dyDescent="0.35">
      <c r="A65" s="55" t="s">
        <v>108</v>
      </c>
      <c r="B65" s="46"/>
      <c r="C65" s="46"/>
      <c r="D65" s="46"/>
      <c r="E65" s="46"/>
      <c r="F65" s="46">
        <v>2974300</v>
      </c>
      <c r="G65" s="46"/>
      <c r="H65" s="46"/>
      <c r="I65" s="46"/>
      <c r="J65" s="46"/>
      <c r="K65" s="46"/>
      <c r="L65" s="46"/>
      <c r="M65" s="46"/>
      <c r="N65" s="46"/>
      <c r="O65" s="46"/>
      <c r="P65" s="47"/>
      <c r="Q65" s="47"/>
      <c r="R65" s="47"/>
      <c r="S65" s="27"/>
      <c r="T65" s="30"/>
      <c r="U65" s="27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1"/>
      <c r="BP65" s="31"/>
      <c r="BQ65" s="31"/>
      <c r="BR65" s="31"/>
      <c r="BS65" s="31"/>
      <c r="BT65" s="31"/>
      <c r="BU65" s="31"/>
      <c r="BV65" s="31"/>
      <c r="BW65" s="31"/>
      <c r="BX65" s="31"/>
      <c r="BY65" s="31"/>
      <c r="BZ65" s="31"/>
      <c r="CA65" s="31"/>
      <c r="CB65" s="31"/>
      <c r="CC65" s="31"/>
      <c r="CD65" s="31"/>
      <c r="CE65" s="31"/>
      <c r="CF65" s="31"/>
      <c r="CG65" s="31"/>
      <c r="CH65" s="31"/>
      <c r="CI65" s="31"/>
      <c r="CJ65" s="31"/>
      <c r="CK65" s="31"/>
      <c r="CL65" s="31"/>
      <c r="CM65" s="31"/>
      <c r="CN65" s="31"/>
      <c r="CO65" s="31"/>
      <c r="CP65" s="31"/>
      <c r="CQ65" s="31"/>
      <c r="CR65" s="31"/>
      <c r="CS65" s="31"/>
      <c r="CT65" s="31"/>
      <c r="CU65" s="31"/>
      <c r="CV65" s="31"/>
      <c r="CW65" s="31"/>
      <c r="CX65" s="31"/>
      <c r="CY65" s="31"/>
      <c r="CZ65" s="31"/>
      <c r="DA65" s="31"/>
      <c r="DB65" s="31"/>
      <c r="DC65" s="31"/>
      <c r="DD65" s="31"/>
      <c r="DE65" s="31"/>
      <c r="DF65" s="31"/>
      <c r="DG65" s="31"/>
      <c r="DH65" s="31"/>
      <c r="DI65" s="31"/>
      <c r="DJ65" s="31"/>
      <c r="DK65" s="31"/>
      <c r="DL65" s="31"/>
      <c r="DM65" s="31"/>
      <c r="DN65" s="31"/>
      <c r="DO65" s="31"/>
      <c r="DP65" s="31"/>
      <c r="DQ65" s="31"/>
      <c r="DR65" s="31"/>
      <c r="DS65" s="31"/>
      <c r="DT65" s="31"/>
      <c r="DU65" s="31"/>
      <c r="DV65" s="31"/>
      <c r="DW65" s="31"/>
      <c r="DX65" s="31"/>
      <c r="DY65" s="31"/>
      <c r="DZ65" s="31"/>
      <c r="EA65" s="31"/>
      <c r="EB65" s="31"/>
      <c r="EC65" s="31"/>
      <c r="ED65" s="31"/>
      <c r="EE65" s="31"/>
      <c r="EF65" s="31"/>
      <c r="EG65" s="31"/>
      <c r="EH65" s="31"/>
      <c r="EI65" s="31"/>
      <c r="EJ65" s="31"/>
      <c r="EK65" s="31"/>
      <c r="EL65" s="31"/>
      <c r="EM65" s="31"/>
      <c r="EN65" s="31"/>
      <c r="EO65" s="31"/>
      <c r="EP65" s="31"/>
      <c r="EQ65" s="31"/>
      <c r="ER65" s="31"/>
      <c r="ES65" s="31"/>
      <c r="ET65" s="31"/>
      <c r="EU65" s="31"/>
      <c r="EV65" s="31"/>
      <c r="EW65" s="31"/>
      <c r="EX65" s="31"/>
      <c r="EY65" s="31"/>
      <c r="EZ65" s="31"/>
      <c r="FA65" s="31"/>
      <c r="FB65" s="31"/>
      <c r="FC65" s="31"/>
      <c r="FD65" s="31"/>
      <c r="FE65" s="31"/>
      <c r="FF65" s="31"/>
      <c r="FG65" s="31"/>
      <c r="FH65" s="31"/>
      <c r="FI65" s="31"/>
      <c r="FJ65" s="31"/>
      <c r="FK65" s="31"/>
      <c r="FL65" s="31"/>
      <c r="FM65" s="31"/>
      <c r="FN65" s="31"/>
      <c r="FO65" s="31"/>
      <c r="FP65" s="31"/>
      <c r="FQ65" s="31"/>
      <c r="FR65" s="31"/>
      <c r="FS65" s="31"/>
      <c r="FT65" s="31"/>
      <c r="FU65" s="31"/>
      <c r="FV65" s="31"/>
      <c r="FW65" s="31"/>
      <c r="FX65" s="31"/>
      <c r="FY65" s="31"/>
      <c r="FZ65" s="31"/>
      <c r="GA65" s="31"/>
      <c r="GB65" s="31"/>
      <c r="GC65" s="31"/>
      <c r="GD65" s="31"/>
      <c r="GE65" s="31"/>
      <c r="GF65" s="31"/>
      <c r="GG65" s="31"/>
      <c r="GH65" s="31"/>
      <c r="GI65" s="31"/>
      <c r="GJ65" s="31"/>
      <c r="GK65" s="31"/>
      <c r="GL65" s="31"/>
      <c r="GM65" s="31"/>
      <c r="GN65" s="31"/>
      <c r="GO65" s="31"/>
      <c r="GP65" s="31"/>
      <c r="GQ65" s="31"/>
      <c r="GR65" s="31"/>
      <c r="GS65" s="31"/>
      <c r="GT65" s="31"/>
      <c r="GU65" s="31"/>
      <c r="GV65" s="31"/>
      <c r="GW65" s="31"/>
      <c r="GX65" s="31"/>
      <c r="GY65" s="31"/>
      <c r="GZ65" s="31"/>
      <c r="HA65" s="31"/>
      <c r="HB65" s="31"/>
      <c r="HC65" s="31"/>
      <c r="HD65" s="31"/>
      <c r="HE65" s="31"/>
      <c r="HF65" s="31"/>
      <c r="HG65" s="31"/>
      <c r="HH65" s="31"/>
      <c r="HI65" s="31"/>
      <c r="HJ65" s="31"/>
      <c r="HK65" s="31"/>
      <c r="HL65" s="31"/>
      <c r="HM65" s="31"/>
      <c r="HN65" s="31"/>
      <c r="HO65" s="31"/>
      <c r="HP65" s="31"/>
      <c r="HQ65" s="31"/>
      <c r="HR65" s="31"/>
      <c r="HS65" s="31"/>
      <c r="HT65" s="31"/>
      <c r="HU65" s="31"/>
      <c r="HV65" s="31"/>
      <c r="HW65" s="31"/>
      <c r="HX65" s="31"/>
      <c r="HY65" s="31"/>
      <c r="HZ65" s="31"/>
    </row>
    <row r="66" spans="1:234" ht="14.25" customHeight="1" x14ac:dyDescent="0.35">
      <c r="A66" s="55" t="s">
        <v>184</v>
      </c>
      <c r="B66" s="46"/>
      <c r="C66" s="46"/>
      <c r="D66" s="46"/>
      <c r="E66" s="46"/>
      <c r="F66" s="46">
        <v>403000</v>
      </c>
      <c r="G66" s="46">
        <v>750000</v>
      </c>
      <c r="H66" s="46">
        <v>1334000</v>
      </c>
      <c r="I66" s="46">
        <v>1051000</v>
      </c>
      <c r="J66" s="46"/>
      <c r="K66" s="46"/>
      <c r="L66" s="46"/>
      <c r="M66" s="46"/>
      <c r="N66" s="46"/>
      <c r="O66" s="46"/>
      <c r="P66" s="47"/>
      <c r="Q66" s="47"/>
      <c r="R66" s="47"/>
      <c r="S66" s="27"/>
      <c r="T66" s="30"/>
      <c r="U66" s="27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1"/>
      <c r="BP66" s="31"/>
      <c r="BQ66" s="31"/>
      <c r="BR66" s="31"/>
      <c r="BS66" s="31"/>
      <c r="BT66" s="31"/>
      <c r="BU66" s="31"/>
      <c r="BV66" s="31"/>
      <c r="BW66" s="31"/>
      <c r="BX66" s="31"/>
      <c r="BY66" s="31"/>
      <c r="BZ66" s="31"/>
      <c r="CA66" s="31"/>
      <c r="CB66" s="31"/>
      <c r="CC66" s="31"/>
      <c r="CD66" s="31"/>
      <c r="CE66" s="31"/>
      <c r="CF66" s="31"/>
      <c r="CG66" s="31"/>
      <c r="CH66" s="31"/>
      <c r="CI66" s="31"/>
      <c r="CJ66" s="31"/>
      <c r="CK66" s="31"/>
      <c r="CL66" s="31"/>
      <c r="CM66" s="31"/>
      <c r="CN66" s="31"/>
      <c r="CO66" s="31"/>
      <c r="CP66" s="31"/>
      <c r="CQ66" s="31"/>
      <c r="CR66" s="31"/>
      <c r="CS66" s="31"/>
      <c r="CT66" s="31"/>
      <c r="CU66" s="31"/>
      <c r="CV66" s="31"/>
      <c r="CW66" s="31"/>
      <c r="CX66" s="31"/>
      <c r="CY66" s="31"/>
      <c r="CZ66" s="31"/>
      <c r="DA66" s="31"/>
      <c r="DB66" s="31"/>
      <c r="DC66" s="31"/>
      <c r="DD66" s="31"/>
      <c r="DE66" s="31"/>
      <c r="DF66" s="31"/>
      <c r="DG66" s="31"/>
      <c r="DH66" s="31"/>
      <c r="DI66" s="31"/>
      <c r="DJ66" s="31"/>
      <c r="DK66" s="31"/>
      <c r="DL66" s="31"/>
      <c r="DM66" s="31"/>
      <c r="DN66" s="31"/>
      <c r="DO66" s="31"/>
      <c r="DP66" s="31"/>
      <c r="DQ66" s="31"/>
      <c r="DR66" s="31"/>
      <c r="DS66" s="31"/>
      <c r="DT66" s="31"/>
      <c r="DU66" s="31"/>
      <c r="DV66" s="31"/>
      <c r="DW66" s="31"/>
      <c r="DX66" s="31"/>
      <c r="DY66" s="31"/>
      <c r="DZ66" s="31"/>
      <c r="EA66" s="31"/>
      <c r="EB66" s="31"/>
      <c r="EC66" s="31"/>
      <c r="ED66" s="31"/>
      <c r="EE66" s="31"/>
      <c r="EF66" s="31"/>
      <c r="EG66" s="31"/>
      <c r="EH66" s="31"/>
      <c r="EI66" s="31"/>
      <c r="EJ66" s="31"/>
      <c r="EK66" s="31"/>
      <c r="EL66" s="31"/>
      <c r="EM66" s="31"/>
      <c r="EN66" s="31"/>
      <c r="EO66" s="31"/>
      <c r="EP66" s="31"/>
      <c r="EQ66" s="31"/>
      <c r="ER66" s="31"/>
      <c r="ES66" s="31"/>
      <c r="ET66" s="31"/>
      <c r="EU66" s="31"/>
      <c r="EV66" s="31"/>
      <c r="EW66" s="31"/>
      <c r="EX66" s="31"/>
      <c r="EY66" s="31"/>
      <c r="EZ66" s="31"/>
      <c r="FA66" s="31"/>
      <c r="FB66" s="31"/>
      <c r="FC66" s="31"/>
      <c r="FD66" s="31"/>
      <c r="FE66" s="31"/>
      <c r="FF66" s="31"/>
      <c r="FG66" s="31"/>
      <c r="FH66" s="31"/>
      <c r="FI66" s="31"/>
      <c r="FJ66" s="31"/>
      <c r="FK66" s="31"/>
      <c r="FL66" s="31"/>
      <c r="FM66" s="31"/>
      <c r="FN66" s="31"/>
      <c r="FO66" s="31"/>
      <c r="FP66" s="31"/>
      <c r="FQ66" s="31"/>
      <c r="FR66" s="31"/>
      <c r="FS66" s="31"/>
      <c r="FT66" s="31"/>
      <c r="FU66" s="31"/>
      <c r="FV66" s="31"/>
      <c r="FW66" s="31"/>
      <c r="FX66" s="31"/>
      <c r="FY66" s="31"/>
      <c r="FZ66" s="31"/>
      <c r="GA66" s="31"/>
      <c r="GB66" s="31"/>
      <c r="GC66" s="31"/>
      <c r="GD66" s="31"/>
      <c r="GE66" s="31"/>
      <c r="GF66" s="31"/>
      <c r="GG66" s="31"/>
      <c r="GH66" s="31"/>
      <c r="GI66" s="31"/>
      <c r="GJ66" s="31"/>
      <c r="GK66" s="31"/>
      <c r="GL66" s="31"/>
      <c r="GM66" s="31"/>
      <c r="GN66" s="31"/>
      <c r="GO66" s="31"/>
      <c r="GP66" s="31"/>
      <c r="GQ66" s="31"/>
      <c r="GR66" s="31"/>
      <c r="GS66" s="31"/>
      <c r="GT66" s="31"/>
      <c r="GU66" s="31"/>
      <c r="GV66" s="31"/>
      <c r="GW66" s="31"/>
      <c r="GX66" s="31"/>
      <c r="GY66" s="31"/>
      <c r="GZ66" s="31"/>
      <c r="HA66" s="31"/>
      <c r="HB66" s="31"/>
      <c r="HC66" s="31"/>
      <c r="HD66" s="31"/>
      <c r="HE66" s="31"/>
      <c r="HF66" s="31"/>
      <c r="HG66" s="31"/>
      <c r="HH66" s="31"/>
      <c r="HI66" s="31"/>
      <c r="HJ66" s="31"/>
      <c r="HK66" s="31"/>
      <c r="HL66" s="31"/>
      <c r="HM66" s="31"/>
      <c r="HN66" s="31"/>
      <c r="HO66" s="31"/>
      <c r="HP66" s="31"/>
      <c r="HQ66" s="31"/>
      <c r="HR66" s="31"/>
      <c r="HS66" s="31"/>
      <c r="HT66" s="31"/>
      <c r="HU66" s="31"/>
      <c r="HV66" s="31"/>
      <c r="HW66" s="31"/>
      <c r="HX66" s="31"/>
      <c r="HY66" s="31"/>
      <c r="HZ66" s="31"/>
    </row>
    <row r="67" spans="1:234" ht="14.25" customHeight="1" x14ac:dyDescent="0.35">
      <c r="A67" s="55" t="s">
        <v>109</v>
      </c>
      <c r="B67" s="46"/>
      <c r="C67" s="46">
        <f>+W41</f>
        <v>7058958.8999999994</v>
      </c>
      <c r="D67" s="46">
        <f>+X41+Y41</f>
        <v>5849348</v>
      </c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7"/>
      <c r="Q67" s="47"/>
      <c r="R67" s="47"/>
      <c r="S67" s="27"/>
      <c r="T67" s="30"/>
      <c r="U67" s="27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1"/>
      <c r="BP67" s="31"/>
      <c r="BQ67" s="31"/>
      <c r="BR67" s="31"/>
      <c r="BS67" s="31"/>
      <c r="BT67" s="31"/>
      <c r="BU67" s="31"/>
      <c r="BV67" s="31"/>
      <c r="BW67" s="31"/>
      <c r="BX67" s="31"/>
      <c r="BY67" s="31"/>
      <c r="BZ67" s="31"/>
      <c r="CA67" s="31"/>
      <c r="CB67" s="31"/>
      <c r="CC67" s="31"/>
      <c r="CD67" s="31"/>
      <c r="CE67" s="31"/>
      <c r="CF67" s="31"/>
      <c r="CG67" s="31"/>
      <c r="CH67" s="31"/>
      <c r="CI67" s="31"/>
      <c r="CJ67" s="31"/>
      <c r="CK67" s="31"/>
      <c r="CL67" s="31"/>
      <c r="CM67" s="31"/>
      <c r="CN67" s="31"/>
      <c r="CO67" s="31"/>
      <c r="CP67" s="31"/>
      <c r="CQ67" s="31"/>
      <c r="CR67" s="31"/>
      <c r="CS67" s="31"/>
      <c r="CT67" s="31"/>
      <c r="CU67" s="31"/>
      <c r="CV67" s="31"/>
      <c r="CW67" s="31"/>
      <c r="CX67" s="31"/>
      <c r="CY67" s="31"/>
      <c r="CZ67" s="31"/>
      <c r="DA67" s="31"/>
      <c r="DB67" s="31"/>
      <c r="DC67" s="31"/>
      <c r="DD67" s="31"/>
      <c r="DE67" s="31"/>
      <c r="DF67" s="31"/>
      <c r="DG67" s="31"/>
      <c r="DH67" s="31"/>
      <c r="DI67" s="31"/>
      <c r="DJ67" s="31"/>
      <c r="DK67" s="31"/>
      <c r="DL67" s="31"/>
      <c r="DM67" s="31"/>
      <c r="DN67" s="31"/>
      <c r="DO67" s="31"/>
      <c r="DP67" s="31"/>
      <c r="DQ67" s="31"/>
      <c r="DR67" s="31"/>
      <c r="DS67" s="31"/>
      <c r="DT67" s="31"/>
      <c r="DU67" s="31"/>
      <c r="DV67" s="31"/>
      <c r="DW67" s="31"/>
      <c r="DX67" s="31"/>
      <c r="DY67" s="31"/>
      <c r="DZ67" s="31"/>
      <c r="EA67" s="31"/>
      <c r="EB67" s="31"/>
      <c r="EC67" s="31"/>
      <c r="ED67" s="31"/>
      <c r="EE67" s="31"/>
      <c r="EF67" s="31"/>
      <c r="EG67" s="31"/>
      <c r="EH67" s="31"/>
      <c r="EI67" s="31"/>
      <c r="EJ67" s="31"/>
      <c r="EK67" s="31"/>
      <c r="EL67" s="31"/>
      <c r="EM67" s="31"/>
      <c r="EN67" s="31"/>
      <c r="EO67" s="31"/>
      <c r="EP67" s="31"/>
      <c r="EQ67" s="31"/>
      <c r="ER67" s="31"/>
      <c r="ES67" s="31"/>
      <c r="ET67" s="31"/>
      <c r="EU67" s="31"/>
      <c r="EV67" s="31"/>
      <c r="EW67" s="31"/>
      <c r="EX67" s="31"/>
      <c r="EY67" s="31"/>
      <c r="EZ67" s="31"/>
      <c r="FA67" s="31"/>
      <c r="FB67" s="31"/>
      <c r="FC67" s="31"/>
      <c r="FD67" s="31"/>
      <c r="FE67" s="31"/>
      <c r="FF67" s="31"/>
      <c r="FG67" s="31"/>
      <c r="FH67" s="31"/>
      <c r="FI67" s="31"/>
      <c r="FJ67" s="31"/>
      <c r="FK67" s="31"/>
      <c r="FL67" s="31"/>
      <c r="FM67" s="31"/>
      <c r="FN67" s="31"/>
      <c r="FO67" s="31"/>
      <c r="FP67" s="31"/>
      <c r="FQ67" s="31"/>
      <c r="FR67" s="31"/>
      <c r="FS67" s="31"/>
      <c r="FT67" s="31"/>
      <c r="FU67" s="31"/>
      <c r="FV67" s="31"/>
      <c r="FW67" s="31"/>
      <c r="FX67" s="31"/>
      <c r="FY67" s="31"/>
      <c r="FZ67" s="31"/>
      <c r="GA67" s="31"/>
      <c r="GB67" s="31"/>
      <c r="GC67" s="31"/>
      <c r="GD67" s="31"/>
      <c r="GE67" s="31"/>
      <c r="GF67" s="31"/>
      <c r="GG67" s="31"/>
      <c r="GH67" s="31"/>
      <c r="GI67" s="31"/>
      <c r="GJ67" s="31"/>
      <c r="GK67" s="31"/>
      <c r="GL67" s="31"/>
      <c r="GM67" s="31"/>
      <c r="GN67" s="31"/>
      <c r="GO67" s="31"/>
      <c r="GP67" s="31"/>
      <c r="GQ67" s="31"/>
      <c r="GR67" s="31"/>
      <c r="GS67" s="31"/>
      <c r="GT67" s="31"/>
      <c r="GU67" s="31"/>
      <c r="GV67" s="31"/>
      <c r="GW67" s="31"/>
      <c r="GX67" s="31"/>
      <c r="GY67" s="31"/>
      <c r="GZ67" s="31"/>
      <c r="HA67" s="31"/>
      <c r="HB67" s="31"/>
      <c r="HC67" s="31"/>
      <c r="HD67" s="31"/>
      <c r="HE67" s="31"/>
      <c r="HF67" s="31"/>
      <c r="HG67" s="31"/>
      <c r="HH67" s="31"/>
      <c r="HI67" s="31"/>
      <c r="HJ67" s="31"/>
      <c r="HK67" s="31"/>
      <c r="HL67" s="31"/>
      <c r="HM67" s="31"/>
      <c r="HN67" s="31"/>
      <c r="HO67" s="31"/>
      <c r="HP67" s="31"/>
      <c r="HQ67" s="31"/>
      <c r="HR67" s="31"/>
      <c r="HS67" s="31"/>
      <c r="HT67" s="31"/>
      <c r="HU67" s="31"/>
      <c r="HV67" s="31"/>
      <c r="HW67" s="31"/>
      <c r="HX67" s="31"/>
      <c r="HY67" s="31"/>
      <c r="HZ67" s="31"/>
    </row>
    <row r="68" spans="1:234" ht="14.25" customHeight="1" x14ac:dyDescent="0.35">
      <c r="A68" s="55" t="s">
        <v>110</v>
      </c>
      <c r="B68" s="46"/>
      <c r="C68" s="46"/>
      <c r="D68" s="46"/>
      <c r="E68" s="46">
        <v>800000</v>
      </c>
      <c r="F68" s="46">
        <v>750000</v>
      </c>
      <c r="G68" s="46"/>
      <c r="H68" s="46"/>
      <c r="I68" s="46"/>
      <c r="J68" s="46"/>
      <c r="K68" s="46"/>
      <c r="L68" s="46"/>
      <c r="M68" s="46"/>
      <c r="N68" s="46"/>
      <c r="O68" s="46"/>
      <c r="P68" s="47"/>
      <c r="Q68" s="47"/>
      <c r="R68" s="47"/>
      <c r="S68" s="27"/>
      <c r="T68" s="30"/>
      <c r="U68" s="27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1"/>
      <c r="BP68" s="31"/>
      <c r="BQ68" s="31"/>
      <c r="BR68" s="31"/>
      <c r="BS68" s="31"/>
      <c r="BT68" s="31"/>
      <c r="BU68" s="31"/>
      <c r="BV68" s="31"/>
      <c r="BW68" s="31"/>
      <c r="BX68" s="31"/>
      <c r="BY68" s="31"/>
      <c r="BZ68" s="31"/>
      <c r="CA68" s="31"/>
      <c r="CB68" s="31"/>
      <c r="CC68" s="31"/>
      <c r="CD68" s="31"/>
      <c r="CE68" s="31"/>
      <c r="CF68" s="31"/>
      <c r="CG68" s="31"/>
      <c r="CH68" s="31"/>
      <c r="CI68" s="31"/>
      <c r="CJ68" s="31"/>
      <c r="CK68" s="31"/>
      <c r="CL68" s="31"/>
      <c r="CM68" s="31"/>
      <c r="CN68" s="31"/>
      <c r="CO68" s="31"/>
      <c r="CP68" s="31"/>
      <c r="CQ68" s="31"/>
      <c r="CR68" s="31"/>
      <c r="CS68" s="31"/>
      <c r="CT68" s="31"/>
      <c r="CU68" s="31"/>
      <c r="CV68" s="31"/>
      <c r="CW68" s="31"/>
      <c r="CX68" s="31"/>
      <c r="CY68" s="31"/>
      <c r="CZ68" s="31"/>
      <c r="DA68" s="31"/>
      <c r="DB68" s="31"/>
      <c r="DC68" s="31"/>
      <c r="DD68" s="31"/>
      <c r="DE68" s="31"/>
      <c r="DF68" s="31"/>
      <c r="DG68" s="31"/>
      <c r="DH68" s="31"/>
      <c r="DI68" s="31"/>
      <c r="DJ68" s="31"/>
      <c r="DK68" s="31"/>
      <c r="DL68" s="31"/>
      <c r="DM68" s="31"/>
      <c r="DN68" s="31"/>
      <c r="DO68" s="31"/>
      <c r="DP68" s="31"/>
      <c r="DQ68" s="31"/>
      <c r="DR68" s="31"/>
      <c r="DS68" s="31"/>
      <c r="DT68" s="31"/>
      <c r="DU68" s="31"/>
      <c r="DV68" s="31"/>
      <c r="DW68" s="31"/>
      <c r="DX68" s="31"/>
      <c r="DY68" s="31"/>
      <c r="DZ68" s="31"/>
      <c r="EA68" s="31"/>
      <c r="EB68" s="31"/>
      <c r="EC68" s="31"/>
      <c r="ED68" s="31"/>
      <c r="EE68" s="31"/>
      <c r="EF68" s="31"/>
      <c r="EG68" s="31"/>
      <c r="EH68" s="31"/>
      <c r="EI68" s="31"/>
      <c r="EJ68" s="31"/>
      <c r="EK68" s="31"/>
      <c r="EL68" s="31"/>
      <c r="EM68" s="31"/>
      <c r="EN68" s="31"/>
      <c r="EO68" s="31"/>
      <c r="EP68" s="31"/>
      <c r="EQ68" s="31"/>
      <c r="ER68" s="31"/>
      <c r="ES68" s="31"/>
      <c r="ET68" s="31"/>
      <c r="EU68" s="31"/>
      <c r="EV68" s="31"/>
      <c r="EW68" s="31"/>
      <c r="EX68" s="31"/>
      <c r="EY68" s="31"/>
      <c r="EZ68" s="31"/>
      <c r="FA68" s="31"/>
      <c r="FB68" s="31"/>
      <c r="FC68" s="31"/>
      <c r="FD68" s="31"/>
      <c r="FE68" s="31"/>
      <c r="FF68" s="31"/>
      <c r="FG68" s="31"/>
      <c r="FH68" s="31"/>
      <c r="FI68" s="31"/>
      <c r="FJ68" s="31"/>
      <c r="FK68" s="31"/>
      <c r="FL68" s="31"/>
      <c r="FM68" s="31"/>
      <c r="FN68" s="31"/>
      <c r="FO68" s="31"/>
      <c r="FP68" s="31"/>
      <c r="FQ68" s="31"/>
      <c r="FR68" s="31"/>
      <c r="FS68" s="31"/>
      <c r="FT68" s="31"/>
      <c r="FU68" s="31"/>
      <c r="FV68" s="31"/>
      <c r="FW68" s="31"/>
      <c r="FX68" s="31"/>
      <c r="FY68" s="31"/>
      <c r="FZ68" s="31"/>
      <c r="GA68" s="31"/>
      <c r="GB68" s="31"/>
      <c r="GC68" s="31"/>
      <c r="GD68" s="31"/>
      <c r="GE68" s="31"/>
      <c r="GF68" s="31"/>
      <c r="GG68" s="31"/>
      <c r="GH68" s="31"/>
      <c r="GI68" s="31"/>
      <c r="GJ68" s="31"/>
      <c r="GK68" s="31"/>
      <c r="GL68" s="31"/>
      <c r="GM68" s="31"/>
      <c r="GN68" s="31"/>
      <c r="GO68" s="31"/>
      <c r="GP68" s="31"/>
      <c r="GQ68" s="31"/>
      <c r="GR68" s="31"/>
      <c r="GS68" s="31"/>
      <c r="GT68" s="31"/>
      <c r="GU68" s="31"/>
      <c r="GV68" s="31"/>
      <c r="GW68" s="31"/>
      <c r="GX68" s="31"/>
      <c r="GY68" s="31"/>
      <c r="GZ68" s="31"/>
      <c r="HA68" s="31"/>
      <c r="HB68" s="31"/>
      <c r="HC68" s="31"/>
      <c r="HD68" s="31"/>
      <c r="HE68" s="31"/>
      <c r="HF68" s="31"/>
      <c r="HG68" s="31"/>
      <c r="HH68" s="31"/>
      <c r="HI68" s="31"/>
      <c r="HJ68" s="31"/>
      <c r="HK68" s="31"/>
      <c r="HL68" s="31"/>
      <c r="HM68" s="31"/>
      <c r="HN68" s="31"/>
      <c r="HO68" s="31"/>
      <c r="HP68" s="31"/>
      <c r="HQ68" s="31"/>
      <c r="HR68" s="31"/>
      <c r="HS68" s="31"/>
      <c r="HT68" s="31"/>
      <c r="HU68" s="31"/>
      <c r="HV68" s="31"/>
      <c r="HW68" s="31"/>
      <c r="HX68" s="31"/>
      <c r="HY68" s="31"/>
      <c r="HZ68" s="31"/>
    </row>
    <row r="69" spans="1:234" ht="14.25" customHeight="1" x14ac:dyDescent="0.35">
      <c r="A69" s="66" t="s">
        <v>111</v>
      </c>
      <c r="B69" s="67">
        <f t="shared" ref="B69:O69" si="9">SUM(B22:B68)</f>
        <v>0</v>
      </c>
      <c r="C69" s="67">
        <f t="shared" si="9"/>
        <v>87058958.900000006</v>
      </c>
      <c r="D69" s="67">
        <f t="shared" si="9"/>
        <v>12255473</v>
      </c>
      <c r="E69" s="67">
        <f t="shared" si="9"/>
        <v>118580090</v>
      </c>
      <c r="F69" s="67">
        <f t="shared" si="9"/>
        <v>62436172.5</v>
      </c>
      <c r="G69" s="67">
        <f t="shared" si="9"/>
        <v>63052682.5</v>
      </c>
      <c r="H69" s="67">
        <f t="shared" si="9"/>
        <v>103789901.5</v>
      </c>
      <c r="I69" s="67">
        <f t="shared" si="9"/>
        <v>105379990.5</v>
      </c>
      <c r="J69" s="67">
        <f t="shared" si="9"/>
        <v>50727947.5</v>
      </c>
      <c r="K69" s="67">
        <f t="shared" si="9"/>
        <v>45721731.5</v>
      </c>
      <c r="L69" s="67">
        <f t="shared" si="9"/>
        <v>38721731.5</v>
      </c>
      <c r="M69" s="67">
        <f t="shared" si="9"/>
        <v>38721731.5</v>
      </c>
      <c r="N69" s="67">
        <f t="shared" si="9"/>
        <v>38721731.5</v>
      </c>
      <c r="O69" s="53">
        <f t="shared" si="9"/>
        <v>38721731.5</v>
      </c>
      <c r="P69" s="47"/>
      <c r="Q69" s="47"/>
      <c r="R69" s="47"/>
      <c r="S69" s="27"/>
      <c r="T69" s="82"/>
      <c r="U69" s="27"/>
      <c r="V69" s="31"/>
      <c r="W69" s="31"/>
      <c r="X69" s="31"/>
      <c r="Y69" s="31"/>
      <c r="Z69" s="31"/>
      <c r="AA69" s="83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1"/>
      <c r="BQ69" s="31"/>
      <c r="BR69" s="31"/>
      <c r="BS69" s="31"/>
      <c r="BT69" s="31"/>
      <c r="BU69" s="31"/>
      <c r="BV69" s="31"/>
      <c r="BW69" s="31"/>
      <c r="BX69" s="31"/>
      <c r="BY69" s="31"/>
      <c r="BZ69" s="31"/>
      <c r="CA69" s="31"/>
      <c r="CB69" s="31"/>
      <c r="CC69" s="31"/>
      <c r="CD69" s="31"/>
      <c r="CE69" s="31"/>
      <c r="CF69" s="31"/>
      <c r="CG69" s="31"/>
      <c r="CH69" s="31"/>
      <c r="CI69" s="31"/>
      <c r="CJ69" s="31"/>
      <c r="CK69" s="31"/>
      <c r="CL69" s="31"/>
      <c r="CM69" s="31"/>
      <c r="CN69" s="31"/>
      <c r="CO69" s="31"/>
      <c r="CP69" s="31"/>
      <c r="CQ69" s="31"/>
      <c r="CR69" s="31"/>
      <c r="CS69" s="31"/>
      <c r="CT69" s="31"/>
      <c r="CU69" s="31"/>
      <c r="CV69" s="31"/>
      <c r="CW69" s="31"/>
      <c r="CX69" s="31"/>
      <c r="CY69" s="31"/>
      <c r="CZ69" s="31"/>
      <c r="DA69" s="31"/>
      <c r="DB69" s="31"/>
      <c r="DC69" s="31"/>
      <c r="DD69" s="31"/>
      <c r="DE69" s="31"/>
      <c r="DF69" s="31"/>
      <c r="DG69" s="31"/>
      <c r="DH69" s="31"/>
      <c r="DI69" s="31"/>
      <c r="DJ69" s="31"/>
      <c r="DK69" s="31"/>
      <c r="DL69" s="31"/>
      <c r="DM69" s="31"/>
      <c r="DN69" s="31"/>
      <c r="DO69" s="31"/>
      <c r="DP69" s="31"/>
      <c r="DQ69" s="31"/>
      <c r="DR69" s="31"/>
      <c r="DS69" s="31"/>
      <c r="DT69" s="31"/>
      <c r="DU69" s="31"/>
      <c r="DV69" s="31"/>
      <c r="DW69" s="31"/>
      <c r="DX69" s="31"/>
      <c r="DY69" s="31"/>
      <c r="DZ69" s="31"/>
      <c r="EA69" s="31"/>
      <c r="EB69" s="31"/>
      <c r="EC69" s="31"/>
      <c r="ED69" s="31"/>
      <c r="EE69" s="31"/>
      <c r="EF69" s="31"/>
      <c r="EG69" s="31"/>
      <c r="EH69" s="31"/>
      <c r="EI69" s="31"/>
      <c r="EJ69" s="31"/>
      <c r="EK69" s="31"/>
      <c r="EL69" s="31"/>
      <c r="EM69" s="31"/>
      <c r="EN69" s="31"/>
      <c r="EO69" s="31"/>
      <c r="EP69" s="31"/>
      <c r="EQ69" s="31"/>
      <c r="ER69" s="31"/>
      <c r="ES69" s="31"/>
      <c r="ET69" s="31"/>
      <c r="EU69" s="31"/>
      <c r="EV69" s="31"/>
      <c r="EW69" s="31"/>
      <c r="EX69" s="31"/>
      <c r="EY69" s="31"/>
      <c r="EZ69" s="31"/>
      <c r="FA69" s="31"/>
      <c r="FB69" s="31"/>
      <c r="FC69" s="31"/>
      <c r="FD69" s="31"/>
      <c r="FE69" s="31"/>
      <c r="FF69" s="31"/>
      <c r="FG69" s="31"/>
      <c r="FH69" s="31"/>
      <c r="FI69" s="31"/>
      <c r="FJ69" s="31"/>
      <c r="FK69" s="31"/>
      <c r="FL69" s="31"/>
      <c r="FM69" s="31"/>
      <c r="FN69" s="31"/>
      <c r="FO69" s="31"/>
      <c r="FP69" s="31"/>
      <c r="FQ69" s="31"/>
      <c r="FR69" s="31"/>
      <c r="FS69" s="31"/>
      <c r="FT69" s="31"/>
      <c r="FU69" s="31"/>
      <c r="FV69" s="31"/>
      <c r="FW69" s="31"/>
      <c r="FX69" s="31"/>
      <c r="FY69" s="31"/>
      <c r="FZ69" s="31"/>
      <c r="GA69" s="31"/>
      <c r="GB69" s="31"/>
      <c r="GC69" s="31"/>
      <c r="GD69" s="31"/>
      <c r="GE69" s="31"/>
      <c r="GF69" s="31"/>
      <c r="GG69" s="31"/>
      <c r="GH69" s="31"/>
      <c r="GI69" s="31"/>
      <c r="GJ69" s="31"/>
      <c r="GK69" s="31"/>
      <c r="GL69" s="31"/>
      <c r="GM69" s="31"/>
      <c r="GN69" s="31"/>
      <c r="GO69" s="31"/>
      <c r="GP69" s="31"/>
      <c r="GQ69" s="31"/>
      <c r="GR69" s="31"/>
      <c r="GS69" s="31"/>
      <c r="GT69" s="31"/>
      <c r="GU69" s="31"/>
      <c r="GV69" s="31"/>
      <c r="GW69" s="31"/>
      <c r="GX69" s="31"/>
      <c r="GY69" s="31"/>
      <c r="GZ69" s="31"/>
      <c r="HA69" s="31"/>
      <c r="HB69" s="31"/>
      <c r="HC69" s="31"/>
      <c r="HD69" s="31"/>
      <c r="HE69" s="31"/>
      <c r="HF69" s="31"/>
      <c r="HG69" s="31"/>
      <c r="HH69" s="31"/>
      <c r="HI69" s="31"/>
      <c r="HJ69" s="31"/>
      <c r="HK69" s="31"/>
      <c r="HL69" s="31"/>
      <c r="HM69" s="31"/>
      <c r="HN69" s="31"/>
      <c r="HO69" s="31"/>
      <c r="HP69" s="31"/>
      <c r="HQ69" s="31"/>
      <c r="HR69" s="31"/>
      <c r="HS69" s="31"/>
      <c r="HT69" s="31"/>
      <c r="HU69" s="31"/>
      <c r="HV69" s="31"/>
      <c r="HW69" s="31"/>
      <c r="HX69" s="31"/>
      <c r="HY69" s="31"/>
      <c r="HZ69" s="31"/>
    </row>
    <row r="70" spans="1:234" ht="14.25" customHeight="1" x14ac:dyDescent="0.35">
      <c r="A70" s="55" t="s">
        <v>112</v>
      </c>
      <c r="B70" s="46"/>
      <c r="C70" s="27"/>
      <c r="D70" s="46"/>
      <c r="E70" s="46">
        <v>5700000</v>
      </c>
      <c r="F70" s="71">
        <f>+AI13-E70</f>
        <v>1225212.9000000004</v>
      </c>
      <c r="G70" s="46"/>
      <c r="H70" s="46"/>
      <c r="I70" s="46"/>
      <c r="J70" s="46"/>
      <c r="K70" s="46"/>
      <c r="L70" s="46"/>
      <c r="M70" s="46"/>
      <c r="N70" s="46"/>
      <c r="O70" s="46"/>
      <c r="P70" s="47"/>
      <c r="Q70" s="47"/>
      <c r="R70" s="47"/>
      <c r="S70" s="27"/>
      <c r="T70" s="30"/>
      <c r="U70" s="27"/>
      <c r="V70" s="31"/>
      <c r="W70" s="31"/>
      <c r="X70" s="31"/>
      <c r="Y70" s="31"/>
      <c r="Z70" s="31"/>
      <c r="AA70" s="31"/>
      <c r="AB70" s="83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1"/>
      <c r="BP70" s="31"/>
      <c r="BQ70" s="31"/>
      <c r="BR70" s="31"/>
      <c r="BS70" s="31"/>
      <c r="BT70" s="31"/>
      <c r="BU70" s="31"/>
      <c r="BV70" s="31"/>
      <c r="BW70" s="31"/>
      <c r="BX70" s="31"/>
      <c r="BY70" s="31"/>
      <c r="BZ70" s="31"/>
      <c r="CA70" s="31"/>
      <c r="CB70" s="31"/>
      <c r="CC70" s="31"/>
      <c r="CD70" s="31"/>
      <c r="CE70" s="31"/>
      <c r="CF70" s="31"/>
      <c r="CG70" s="31"/>
      <c r="CH70" s="31"/>
      <c r="CI70" s="31"/>
      <c r="CJ70" s="31"/>
      <c r="CK70" s="31"/>
      <c r="CL70" s="31"/>
      <c r="CM70" s="31"/>
      <c r="CN70" s="31"/>
      <c r="CO70" s="31"/>
      <c r="CP70" s="31"/>
      <c r="CQ70" s="31"/>
      <c r="CR70" s="31"/>
      <c r="CS70" s="31"/>
      <c r="CT70" s="31"/>
      <c r="CU70" s="31"/>
      <c r="CV70" s="31"/>
      <c r="CW70" s="31"/>
      <c r="CX70" s="31"/>
      <c r="CY70" s="31"/>
      <c r="CZ70" s="31"/>
      <c r="DA70" s="31"/>
      <c r="DB70" s="31"/>
      <c r="DC70" s="31"/>
      <c r="DD70" s="31"/>
      <c r="DE70" s="31"/>
      <c r="DF70" s="31"/>
      <c r="DG70" s="31"/>
      <c r="DH70" s="31"/>
      <c r="DI70" s="31"/>
      <c r="DJ70" s="31"/>
      <c r="DK70" s="31"/>
      <c r="DL70" s="31"/>
      <c r="DM70" s="31"/>
      <c r="DN70" s="31"/>
      <c r="DO70" s="31"/>
      <c r="DP70" s="31"/>
      <c r="DQ70" s="31"/>
      <c r="DR70" s="31"/>
      <c r="DS70" s="31"/>
      <c r="DT70" s="31"/>
      <c r="DU70" s="31"/>
      <c r="DV70" s="31"/>
      <c r="DW70" s="31"/>
      <c r="DX70" s="31"/>
      <c r="DY70" s="31"/>
      <c r="DZ70" s="31"/>
      <c r="EA70" s="31"/>
      <c r="EB70" s="31"/>
      <c r="EC70" s="31"/>
      <c r="ED70" s="31"/>
      <c r="EE70" s="31"/>
      <c r="EF70" s="31"/>
      <c r="EG70" s="31"/>
      <c r="EH70" s="31"/>
      <c r="EI70" s="31"/>
      <c r="EJ70" s="31"/>
      <c r="EK70" s="31"/>
      <c r="EL70" s="31"/>
      <c r="EM70" s="31"/>
      <c r="EN70" s="31"/>
      <c r="EO70" s="31"/>
      <c r="EP70" s="31"/>
      <c r="EQ70" s="31"/>
      <c r="ER70" s="31"/>
      <c r="ES70" s="31"/>
      <c r="ET70" s="31"/>
      <c r="EU70" s="31"/>
      <c r="EV70" s="31"/>
      <c r="EW70" s="31"/>
      <c r="EX70" s="31"/>
      <c r="EY70" s="31"/>
      <c r="EZ70" s="31"/>
      <c r="FA70" s="31"/>
      <c r="FB70" s="31"/>
      <c r="FC70" s="31"/>
      <c r="FD70" s="31"/>
      <c r="FE70" s="31"/>
      <c r="FF70" s="31"/>
      <c r="FG70" s="31"/>
      <c r="FH70" s="31"/>
      <c r="FI70" s="31"/>
      <c r="FJ70" s="31"/>
      <c r="FK70" s="31"/>
      <c r="FL70" s="31"/>
      <c r="FM70" s="31"/>
      <c r="FN70" s="31"/>
      <c r="FO70" s="31"/>
      <c r="FP70" s="31"/>
      <c r="FQ70" s="31"/>
      <c r="FR70" s="31"/>
      <c r="FS70" s="31"/>
      <c r="FT70" s="31"/>
      <c r="FU70" s="31"/>
      <c r="FV70" s="31"/>
      <c r="FW70" s="31"/>
      <c r="FX70" s="31"/>
      <c r="FY70" s="31"/>
      <c r="FZ70" s="31"/>
      <c r="GA70" s="31"/>
      <c r="GB70" s="31"/>
      <c r="GC70" s="31"/>
      <c r="GD70" s="31"/>
      <c r="GE70" s="31"/>
      <c r="GF70" s="31"/>
      <c r="GG70" s="31"/>
      <c r="GH70" s="31"/>
      <c r="GI70" s="31"/>
      <c r="GJ70" s="31"/>
      <c r="GK70" s="31"/>
      <c r="GL70" s="31"/>
      <c r="GM70" s="31"/>
      <c r="GN70" s="31"/>
      <c r="GO70" s="31"/>
      <c r="GP70" s="31"/>
      <c r="GQ70" s="31"/>
      <c r="GR70" s="31"/>
      <c r="GS70" s="31"/>
      <c r="GT70" s="31"/>
      <c r="GU70" s="31"/>
      <c r="GV70" s="31"/>
      <c r="GW70" s="31"/>
      <c r="GX70" s="31"/>
      <c r="GY70" s="31"/>
      <c r="GZ70" s="31"/>
      <c r="HA70" s="31"/>
      <c r="HB70" s="31"/>
      <c r="HC70" s="31"/>
      <c r="HD70" s="31"/>
      <c r="HE70" s="31"/>
      <c r="HF70" s="31"/>
      <c r="HG70" s="31"/>
      <c r="HH70" s="31"/>
      <c r="HI70" s="31"/>
      <c r="HJ70" s="31"/>
      <c r="HK70" s="31"/>
      <c r="HL70" s="31"/>
      <c r="HM70" s="31"/>
      <c r="HN70" s="31"/>
      <c r="HO70" s="31"/>
      <c r="HP70" s="31"/>
      <c r="HQ70" s="31"/>
      <c r="HR70" s="31"/>
      <c r="HS70" s="31"/>
      <c r="HT70" s="31"/>
      <c r="HU70" s="31"/>
      <c r="HV70" s="31"/>
      <c r="HW70" s="31"/>
      <c r="HX70" s="31"/>
      <c r="HY70" s="31"/>
      <c r="HZ70" s="31"/>
    </row>
    <row r="71" spans="1:234" ht="14.25" customHeight="1" x14ac:dyDescent="0.35">
      <c r="A71" s="55" t="s">
        <v>113</v>
      </c>
      <c r="B71" s="46"/>
      <c r="C71" s="46"/>
      <c r="D71" s="46"/>
      <c r="E71" s="46">
        <v>5300000</v>
      </c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7"/>
      <c r="Q71" s="47"/>
      <c r="R71" s="47"/>
      <c r="S71" s="27"/>
      <c r="T71" s="30"/>
      <c r="U71" s="80"/>
      <c r="V71" s="83"/>
      <c r="W71" s="83"/>
      <c r="X71" s="83"/>
      <c r="Y71" s="83"/>
      <c r="Z71" s="83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1"/>
      <c r="BP71" s="31"/>
      <c r="BQ71" s="31"/>
      <c r="BR71" s="31"/>
      <c r="BS71" s="31"/>
      <c r="BT71" s="31"/>
      <c r="BU71" s="31"/>
      <c r="BV71" s="31"/>
      <c r="BW71" s="31"/>
      <c r="BX71" s="31"/>
      <c r="BY71" s="31"/>
      <c r="BZ71" s="31"/>
      <c r="CA71" s="31"/>
      <c r="CB71" s="31"/>
      <c r="CC71" s="31"/>
      <c r="CD71" s="31"/>
      <c r="CE71" s="31"/>
      <c r="CF71" s="31"/>
      <c r="CG71" s="31"/>
      <c r="CH71" s="31"/>
      <c r="CI71" s="31"/>
      <c r="CJ71" s="31"/>
      <c r="CK71" s="31"/>
      <c r="CL71" s="31"/>
      <c r="CM71" s="31"/>
      <c r="CN71" s="31"/>
      <c r="CO71" s="31"/>
      <c r="CP71" s="31"/>
      <c r="CQ71" s="31"/>
      <c r="CR71" s="31"/>
      <c r="CS71" s="31"/>
      <c r="CT71" s="31"/>
      <c r="CU71" s="31"/>
      <c r="CV71" s="31"/>
      <c r="CW71" s="31"/>
      <c r="CX71" s="31"/>
      <c r="CY71" s="31"/>
      <c r="CZ71" s="31"/>
      <c r="DA71" s="31"/>
      <c r="DB71" s="31"/>
      <c r="DC71" s="31"/>
      <c r="DD71" s="31"/>
      <c r="DE71" s="31"/>
      <c r="DF71" s="31"/>
      <c r="DG71" s="31"/>
      <c r="DH71" s="31"/>
      <c r="DI71" s="31"/>
      <c r="DJ71" s="31"/>
      <c r="DK71" s="31"/>
      <c r="DL71" s="31"/>
      <c r="DM71" s="31"/>
      <c r="DN71" s="31"/>
      <c r="DO71" s="31"/>
      <c r="DP71" s="31"/>
      <c r="DQ71" s="31"/>
      <c r="DR71" s="31"/>
      <c r="DS71" s="31"/>
      <c r="DT71" s="31"/>
      <c r="DU71" s="31"/>
      <c r="DV71" s="31"/>
      <c r="DW71" s="31"/>
      <c r="DX71" s="31"/>
      <c r="DY71" s="31"/>
      <c r="DZ71" s="31"/>
      <c r="EA71" s="31"/>
      <c r="EB71" s="31"/>
      <c r="EC71" s="31"/>
      <c r="ED71" s="31"/>
      <c r="EE71" s="31"/>
      <c r="EF71" s="31"/>
      <c r="EG71" s="31"/>
      <c r="EH71" s="31"/>
      <c r="EI71" s="31"/>
      <c r="EJ71" s="31"/>
      <c r="EK71" s="31"/>
      <c r="EL71" s="31"/>
      <c r="EM71" s="31"/>
      <c r="EN71" s="31"/>
      <c r="EO71" s="31"/>
      <c r="EP71" s="31"/>
      <c r="EQ71" s="31"/>
      <c r="ER71" s="31"/>
      <c r="ES71" s="31"/>
      <c r="ET71" s="31"/>
      <c r="EU71" s="31"/>
      <c r="EV71" s="31"/>
      <c r="EW71" s="31"/>
      <c r="EX71" s="31"/>
      <c r="EY71" s="31"/>
      <c r="EZ71" s="31"/>
      <c r="FA71" s="31"/>
      <c r="FB71" s="31"/>
      <c r="FC71" s="31"/>
      <c r="FD71" s="31"/>
      <c r="FE71" s="31"/>
      <c r="FF71" s="31"/>
      <c r="FG71" s="31"/>
      <c r="FH71" s="31"/>
      <c r="FI71" s="31"/>
      <c r="FJ71" s="31"/>
      <c r="FK71" s="31"/>
      <c r="FL71" s="31"/>
      <c r="FM71" s="31"/>
      <c r="FN71" s="31"/>
      <c r="FO71" s="31"/>
      <c r="FP71" s="31"/>
      <c r="FQ71" s="31"/>
      <c r="FR71" s="31"/>
      <c r="FS71" s="31"/>
      <c r="FT71" s="31"/>
      <c r="FU71" s="31"/>
      <c r="FV71" s="31"/>
      <c r="FW71" s="31"/>
      <c r="FX71" s="31"/>
      <c r="FY71" s="31"/>
      <c r="FZ71" s="31"/>
      <c r="GA71" s="31"/>
      <c r="GB71" s="31"/>
      <c r="GC71" s="31"/>
      <c r="GD71" s="31"/>
      <c r="GE71" s="31"/>
      <c r="GF71" s="31"/>
      <c r="GG71" s="31"/>
      <c r="GH71" s="31"/>
      <c r="GI71" s="31"/>
      <c r="GJ71" s="31"/>
      <c r="GK71" s="31"/>
      <c r="GL71" s="31"/>
      <c r="GM71" s="31"/>
      <c r="GN71" s="31"/>
      <c r="GO71" s="31"/>
      <c r="GP71" s="31"/>
      <c r="GQ71" s="31"/>
      <c r="GR71" s="31"/>
      <c r="GS71" s="31"/>
      <c r="GT71" s="31"/>
      <c r="GU71" s="31"/>
      <c r="GV71" s="31"/>
      <c r="GW71" s="31"/>
      <c r="GX71" s="31"/>
      <c r="GY71" s="31"/>
      <c r="GZ71" s="31"/>
      <c r="HA71" s="31"/>
      <c r="HB71" s="31"/>
      <c r="HC71" s="31"/>
      <c r="HD71" s="31"/>
      <c r="HE71" s="31"/>
      <c r="HF71" s="31"/>
      <c r="HG71" s="31"/>
      <c r="HH71" s="31"/>
      <c r="HI71" s="31"/>
      <c r="HJ71" s="31"/>
      <c r="HK71" s="31"/>
      <c r="HL71" s="31"/>
      <c r="HM71" s="31"/>
      <c r="HN71" s="31"/>
      <c r="HO71" s="31"/>
      <c r="HP71" s="31"/>
      <c r="HQ71" s="31"/>
      <c r="HR71" s="31"/>
      <c r="HS71" s="31"/>
      <c r="HT71" s="31"/>
      <c r="HU71" s="31"/>
      <c r="HV71" s="31"/>
      <c r="HW71" s="31"/>
      <c r="HX71" s="31"/>
      <c r="HY71" s="31"/>
      <c r="HZ71" s="31"/>
    </row>
    <row r="72" spans="1:234" ht="14.25" customHeight="1" x14ac:dyDescent="0.35">
      <c r="A72" s="55" t="s">
        <v>114</v>
      </c>
      <c r="B72" s="46"/>
      <c r="C72" s="46"/>
      <c r="D72" s="46"/>
      <c r="E72" s="46">
        <v>946549</v>
      </c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7"/>
      <c r="Q72" s="47"/>
      <c r="R72" s="47"/>
      <c r="S72" s="27"/>
      <c r="T72" s="30"/>
      <c r="U72" s="27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1"/>
      <c r="BP72" s="31"/>
      <c r="BQ72" s="31"/>
      <c r="BR72" s="31"/>
      <c r="BS72" s="31"/>
      <c r="BT72" s="31"/>
      <c r="BU72" s="31"/>
      <c r="BV72" s="31"/>
      <c r="BW72" s="31"/>
      <c r="BX72" s="31"/>
      <c r="BY72" s="31"/>
      <c r="BZ72" s="31"/>
      <c r="CA72" s="31"/>
      <c r="CB72" s="31"/>
      <c r="CC72" s="31"/>
      <c r="CD72" s="31"/>
      <c r="CE72" s="31"/>
      <c r="CF72" s="31"/>
      <c r="CG72" s="31"/>
      <c r="CH72" s="31"/>
      <c r="CI72" s="31"/>
      <c r="CJ72" s="31"/>
      <c r="CK72" s="31"/>
      <c r="CL72" s="31"/>
      <c r="CM72" s="31"/>
      <c r="CN72" s="31"/>
      <c r="CO72" s="31"/>
      <c r="CP72" s="31"/>
      <c r="CQ72" s="31"/>
      <c r="CR72" s="31"/>
      <c r="CS72" s="31"/>
      <c r="CT72" s="31"/>
      <c r="CU72" s="31"/>
      <c r="CV72" s="31"/>
      <c r="CW72" s="31"/>
      <c r="CX72" s="31"/>
      <c r="CY72" s="31"/>
      <c r="CZ72" s="31"/>
      <c r="DA72" s="31"/>
      <c r="DB72" s="31"/>
      <c r="DC72" s="31"/>
      <c r="DD72" s="31"/>
      <c r="DE72" s="31"/>
      <c r="DF72" s="31"/>
      <c r="DG72" s="31"/>
      <c r="DH72" s="31"/>
      <c r="DI72" s="31"/>
      <c r="DJ72" s="31"/>
      <c r="DK72" s="31"/>
      <c r="DL72" s="31"/>
      <c r="DM72" s="31"/>
      <c r="DN72" s="31"/>
      <c r="DO72" s="31"/>
      <c r="DP72" s="31"/>
      <c r="DQ72" s="31"/>
      <c r="DR72" s="31"/>
      <c r="DS72" s="31"/>
      <c r="DT72" s="31"/>
      <c r="DU72" s="31"/>
      <c r="DV72" s="31"/>
      <c r="DW72" s="31"/>
      <c r="DX72" s="31"/>
      <c r="DY72" s="31"/>
      <c r="DZ72" s="31"/>
      <c r="EA72" s="31"/>
      <c r="EB72" s="31"/>
      <c r="EC72" s="31"/>
      <c r="ED72" s="31"/>
      <c r="EE72" s="31"/>
      <c r="EF72" s="31"/>
      <c r="EG72" s="31"/>
      <c r="EH72" s="31"/>
      <c r="EI72" s="31"/>
      <c r="EJ72" s="31"/>
      <c r="EK72" s="31"/>
      <c r="EL72" s="31"/>
      <c r="EM72" s="31"/>
      <c r="EN72" s="31"/>
      <c r="EO72" s="31"/>
      <c r="EP72" s="31"/>
      <c r="EQ72" s="31"/>
      <c r="ER72" s="31"/>
      <c r="ES72" s="31"/>
      <c r="ET72" s="31"/>
      <c r="EU72" s="31"/>
      <c r="EV72" s="31"/>
      <c r="EW72" s="31"/>
      <c r="EX72" s="31"/>
      <c r="EY72" s="31"/>
      <c r="EZ72" s="31"/>
      <c r="FA72" s="31"/>
      <c r="FB72" s="31"/>
      <c r="FC72" s="31"/>
      <c r="FD72" s="31"/>
      <c r="FE72" s="31"/>
      <c r="FF72" s="31"/>
      <c r="FG72" s="31"/>
      <c r="FH72" s="31"/>
      <c r="FI72" s="31"/>
      <c r="FJ72" s="31"/>
      <c r="FK72" s="31"/>
      <c r="FL72" s="31"/>
      <c r="FM72" s="31"/>
      <c r="FN72" s="31"/>
      <c r="FO72" s="31"/>
      <c r="FP72" s="31"/>
      <c r="FQ72" s="31"/>
      <c r="FR72" s="31"/>
      <c r="FS72" s="31"/>
      <c r="FT72" s="31"/>
      <c r="FU72" s="31"/>
      <c r="FV72" s="31"/>
      <c r="FW72" s="31"/>
      <c r="FX72" s="31"/>
      <c r="FY72" s="31"/>
      <c r="FZ72" s="31"/>
      <c r="GA72" s="31"/>
      <c r="GB72" s="31"/>
      <c r="GC72" s="31"/>
      <c r="GD72" s="31"/>
      <c r="GE72" s="31"/>
      <c r="GF72" s="31"/>
      <c r="GG72" s="31"/>
      <c r="GH72" s="31"/>
      <c r="GI72" s="31"/>
      <c r="GJ72" s="31"/>
      <c r="GK72" s="31"/>
      <c r="GL72" s="31"/>
      <c r="GM72" s="31"/>
      <c r="GN72" s="31"/>
      <c r="GO72" s="31"/>
      <c r="GP72" s="31"/>
      <c r="GQ72" s="31"/>
      <c r="GR72" s="31"/>
      <c r="GS72" s="31"/>
      <c r="GT72" s="31"/>
      <c r="GU72" s="31"/>
      <c r="GV72" s="31"/>
      <c r="GW72" s="31"/>
      <c r="GX72" s="31"/>
      <c r="GY72" s="31"/>
      <c r="GZ72" s="31"/>
      <c r="HA72" s="31"/>
      <c r="HB72" s="31"/>
      <c r="HC72" s="31"/>
      <c r="HD72" s="31"/>
      <c r="HE72" s="31"/>
      <c r="HF72" s="31"/>
      <c r="HG72" s="31"/>
      <c r="HH72" s="31"/>
      <c r="HI72" s="31"/>
      <c r="HJ72" s="31"/>
      <c r="HK72" s="31"/>
      <c r="HL72" s="31"/>
      <c r="HM72" s="31"/>
      <c r="HN72" s="31"/>
      <c r="HO72" s="31"/>
      <c r="HP72" s="31"/>
      <c r="HQ72" s="31"/>
      <c r="HR72" s="31"/>
      <c r="HS72" s="31"/>
      <c r="HT72" s="31"/>
      <c r="HU72" s="31"/>
      <c r="HV72" s="31"/>
      <c r="HW72" s="31"/>
      <c r="HX72" s="31"/>
      <c r="HY72" s="31"/>
      <c r="HZ72" s="31"/>
    </row>
    <row r="73" spans="1:234" ht="14.25" customHeight="1" x14ac:dyDescent="0.35">
      <c r="A73" s="55" t="s">
        <v>60</v>
      </c>
      <c r="B73" s="46"/>
      <c r="C73" s="46"/>
      <c r="D73" s="46"/>
      <c r="E73" s="46"/>
      <c r="F73" s="46">
        <v>1500000</v>
      </c>
      <c r="G73" s="46">
        <v>1500000</v>
      </c>
      <c r="H73" s="46">
        <v>1500000</v>
      </c>
      <c r="I73" s="46">
        <v>1500000</v>
      </c>
      <c r="J73" s="46">
        <v>1500000</v>
      </c>
      <c r="K73" s="46">
        <v>1500000</v>
      </c>
      <c r="L73" s="46">
        <v>1500000</v>
      </c>
      <c r="M73" s="46">
        <v>1500000</v>
      </c>
      <c r="N73" s="46">
        <v>1500000</v>
      </c>
      <c r="O73" s="46">
        <v>1500000</v>
      </c>
      <c r="P73" s="47"/>
      <c r="Q73" s="47"/>
      <c r="R73" s="47"/>
      <c r="S73" s="27"/>
      <c r="T73" s="30"/>
      <c r="U73" s="27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  <c r="BN73" s="31"/>
      <c r="BO73" s="31"/>
      <c r="BP73" s="31"/>
      <c r="BQ73" s="31"/>
      <c r="BR73" s="31"/>
      <c r="BS73" s="31"/>
      <c r="BT73" s="31"/>
      <c r="BU73" s="31"/>
      <c r="BV73" s="31"/>
      <c r="BW73" s="31"/>
      <c r="BX73" s="31"/>
      <c r="BY73" s="31"/>
      <c r="BZ73" s="31"/>
      <c r="CA73" s="31"/>
      <c r="CB73" s="31"/>
      <c r="CC73" s="31"/>
      <c r="CD73" s="31"/>
      <c r="CE73" s="31"/>
      <c r="CF73" s="31"/>
      <c r="CG73" s="31"/>
      <c r="CH73" s="31"/>
      <c r="CI73" s="31"/>
      <c r="CJ73" s="31"/>
      <c r="CK73" s="31"/>
      <c r="CL73" s="31"/>
      <c r="CM73" s="31"/>
      <c r="CN73" s="31"/>
      <c r="CO73" s="31"/>
      <c r="CP73" s="31"/>
      <c r="CQ73" s="31"/>
      <c r="CR73" s="31"/>
      <c r="CS73" s="31"/>
      <c r="CT73" s="31"/>
      <c r="CU73" s="31"/>
      <c r="CV73" s="31"/>
      <c r="CW73" s="31"/>
      <c r="CX73" s="31"/>
      <c r="CY73" s="31"/>
      <c r="CZ73" s="31"/>
      <c r="DA73" s="31"/>
      <c r="DB73" s="31"/>
      <c r="DC73" s="31"/>
      <c r="DD73" s="31"/>
      <c r="DE73" s="31"/>
      <c r="DF73" s="31"/>
      <c r="DG73" s="31"/>
      <c r="DH73" s="31"/>
      <c r="DI73" s="31"/>
      <c r="DJ73" s="31"/>
      <c r="DK73" s="31"/>
      <c r="DL73" s="31"/>
      <c r="DM73" s="31"/>
      <c r="DN73" s="31"/>
      <c r="DO73" s="31"/>
      <c r="DP73" s="31"/>
      <c r="DQ73" s="31"/>
      <c r="DR73" s="31"/>
      <c r="DS73" s="31"/>
      <c r="DT73" s="31"/>
      <c r="DU73" s="31"/>
      <c r="DV73" s="31"/>
      <c r="DW73" s="31"/>
      <c r="DX73" s="31"/>
      <c r="DY73" s="31"/>
      <c r="DZ73" s="31"/>
      <c r="EA73" s="31"/>
      <c r="EB73" s="31"/>
      <c r="EC73" s="31"/>
      <c r="ED73" s="31"/>
      <c r="EE73" s="31"/>
      <c r="EF73" s="31"/>
      <c r="EG73" s="31"/>
      <c r="EH73" s="31"/>
      <c r="EI73" s="31"/>
      <c r="EJ73" s="31"/>
      <c r="EK73" s="31"/>
      <c r="EL73" s="31"/>
      <c r="EM73" s="31"/>
      <c r="EN73" s="31"/>
      <c r="EO73" s="31"/>
      <c r="EP73" s="31"/>
      <c r="EQ73" s="31"/>
      <c r="ER73" s="31"/>
      <c r="ES73" s="31"/>
      <c r="ET73" s="31"/>
      <c r="EU73" s="31"/>
      <c r="EV73" s="31"/>
      <c r="EW73" s="31"/>
      <c r="EX73" s="31"/>
      <c r="EY73" s="31"/>
      <c r="EZ73" s="31"/>
      <c r="FA73" s="31"/>
      <c r="FB73" s="31"/>
      <c r="FC73" s="31"/>
      <c r="FD73" s="31"/>
      <c r="FE73" s="31"/>
      <c r="FF73" s="31"/>
      <c r="FG73" s="31"/>
      <c r="FH73" s="31"/>
      <c r="FI73" s="31"/>
      <c r="FJ73" s="31"/>
      <c r="FK73" s="31"/>
      <c r="FL73" s="31"/>
      <c r="FM73" s="31"/>
      <c r="FN73" s="31"/>
      <c r="FO73" s="31"/>
      <c r="FP73" s="31"/>
      <c r="FQ73" s="31"/>
      <c r="FR73" s="31"/>
      <c r="FS73" s="31"/>
      <c r="FT73" s="31"/>
      <c r="FU73" s="31"/>
      <c r="FV73" s="31"/>
      <c r="FW73" s="31"/>
      <c r="FX73" s="31"/>
      <c r="FY73" s="31"/>
      <c r="FZ73" s="31"/>
      <c r="GA73" s="31"/>
      <c r="GB73" s="31"/>
      <c r="GC73" s="31"/>
      <c r="GD73" s="31"/>
      <c r="GE73" s="31"/>
      <c r="GF73" s="31"/>
      <c r="GG73" s="31"/>
      <c r="GH73" s="31"/>
      <c r="GI73" s="31"/>
      <c r="GJ73" s="31"/>
      <c r="GK73" s="31"/>
      <c r="GL73" s="31"/>
      <c r="GM73" s="31"/>
      <c r="GN73" s="31"/>
      <c r="GO73" s="31"/>
      <c r="GP73" s="31"/>
      <c r="GQ73" s="31"/>
      <c r="GR73" s="31"/>
      <c r="GS73" s="31"/>
      <c r="GT73" s="31"/>
      <c r="GU73" s="31"/>
      <c r="GV73" s="31"/>
      <c r="GW73" s="31"/>
      <c r="GX73" s="31"/>
      <c r="GY73" s="31"/>
      <c r="GZ73" s="31"/>
      <c r="HA73" s="31"/>
      <c r="HB73" s="31"/>
      <c r="HC73" s="31"/>
      <c r="HD73" s="31"/>
      <c r="HE73" s="31"/>
      <c r="HF73" s="31"/>
      <c r="HG73" s="31"/>
      <c r="HH73" s="31"/>
      <c r="HI73" s="31"/>
      <c r="HJ73" s="31"/>
      <c r="HK73" s="31"/>
      <c r="HL73" s="31"/>
      <c r="HM73" s="31"/>
      <c r="HN73" s="31"/>
      <c r="HO73" s="31"/>
      <c r="HP73" s="31"/>
      <c r="HQ73" s="31"/>
      <c r="HR73" s="31"/>
      <c r="HS73" s="31"/>
      <c r="HT73" s="31"/>
      <c r="HU73" s="31"/>
      <c r="HV73" s="31"/>
      <c r="HW73" s="31"/>
      <c r="HX73" s="31"/>
      <c r="HY73" s="31"/>
      <c r="HZ73" s="31"/>
    </row>
    <row r="74" spans="1:234" ht="14.25" customHeight="1" x14ac:dyDescent="0.35">
      <c r="A74" s="66" t="s">
        <v>115</v>
      </c>
      <c r="B74" s="67">
        <f>SUM(B69:B71)</f>
        <v>0</v>
      </c>
      <c r="C74" s="67">
        <f>SUM(C69:C73)</f>
        <v>87058958.900000006</v>
      </c>
      <c r="D74" s="67">
        <f>SUM(D69:D73)+C75</f>
        <v>5196514.099999994</v>
      </c>
      <c r="E74" s="67">
        <f>SUM(E69:E73)</f>
        <v>130526639</v>
      </c>
      <c r="F74" s="67">
        <f>SUM(F69:F73)</f>
        <v>65161385.399999999</v>
      </c>
      <c r="G74" s="67">
        <f t="shared" ref="G74:N74" si="10">SUM(G69:G73)</f>
        <v>64552682.5</v>
      </c>
      <c r="H74" s="67">
        <f t="shared" si="10"/>
        <v>105289901.5</v>
      </c>
      <c r="I74" s="67">
        <f t="shared" si="10"/>
        <v>106879990.5</v>
      </c>
      <c r="J74" s="67">
        <f t="shared" si="10"/>
        <v>52227947.5</v>
      </c>
      <c r="K74" s="67">
        <f t="shared" si="10"/>
        <v>47221731.5</v>
      </c>
      <c r="L74" s="67">
        <f t="shared" si="10"/>
        <v>40221731.5</v>
      </c>
      <c r="M74" s="67">
        <f t="shared" si="10"/>
        <v>40221731.5</v>
      </c>
      <c r="N74" s="67">
        <f t="shared" si="10"/>
        <v>40221731.5</v>
      </c>
      <c r="O74" s="53">
        <f>SUM(O69:O73)</f>
        <v>40221731.5</v>
      </c>
      <c r="P74" s="47"/>
      <c r="Q74" s="47"/>
      <c r="R74" s="47"/>
      <c r="S74" s="27"/>
      <c r="T74" s="30"/>
      <c r="U74" s="27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  <c r="BO74" s="31"/>
      <c r="BP74" s="31"/>
      <c r="BQ74" s="31"/>
      <c r="BR74" s="31"/>
      <c r="BS74" s="31"/>
      <c r="BT74" s="31"/>
      <c r="BU74" s="31"/>
      <c r="BV74" s="31"/>
      <c r="BW74" s="31"/>
      <c r="BX74" s="31"/>
      <c r="BY74" s="31"/>
      <c r="BZ74" s="31"/>
      <c r="CA74" s="31"/>
      <c r="CB74" s="31"/>
      <c r="CC74" s="31"/>
      <c r="CD74" s="31"/>
      <c r="CE74" s="31"/>
      <c r="CF74" s="31"/>
      <c r="CG74" s="31"/>
      <c r="CH74" s="31"/>
      <c r="CI74" s="31"/>
      <c r="CJ74" s="31"/>
      <c r="CK74" s="31"/>
      <c r="CL74" s="31"/>
      <c r="CM74" s="31"/>
      <c r="CN74" s="31"/>
      <c r="CO74" s="31"/>
      <c r="CP74" s="31"/>
      <c r="CQ74" s="31"/>
      <c r="CR74" s="31"/>
      <c r="CS74" s="31"/>
      <c r="CT74" s="31"/>
      <c r="CU74" s="31"/>
      <c r="CV74" s="31"/>
      <c r="CW74" s="31"/>
      <c r="CX74" s="31"/>
      <c r="CY74" s="31"/>
      <c r="CZ74" s="31"/>
      <c r="DA74" s="31"/>
      <c r="DB74" s="31"/>
      <c r="DC74" s="31"/>
      <c r="DD74" s="31"/>
      <c r="DE74" s="31"/>
      <c r="DF74" s="31"/>
      <c r="DG74" s="31"/>
      <c r="DH74" s="31"/>
      <c r="DI74" s="31"/>
      <c r="DJ74" s="31"/>
      <c r="DK74" s="31"/>
      <c r="DL74" s="31"/>
      <c r="DM74" s="31"/>
      <c r="DN74" s="31"/>
      <c r="DO74" s="31"/>
      <c r="DP74" s="31"/>
      <c r="DQ74" s="31"/>
      <c r="DR74" s="31"/>
      <c r="DS74" s="31"/>
      <c r="DT74" s="31"/>
      <c r="DU74" s="31"/>
      <c r="DV74" s="31"/>
      <c r="DW74" s="31"/>
      <c r="DX74" s="31"/>
      <c r="DY74" s="31"/>
      <c r="DZ74" s="31"/>
      <c r="EA74" s="31"/>
      <c r="EB74" s="31"/>
      <c r="EC74" s="31"/>
      <c r="ED74" s="31"/>
      <c r="EE74" s="31"/>
      <c r="EF74" s="31"/>
      <c r="EG74" s="31"/>
      <c r="EH74" s="31"/>
      <c r="EI74" s="31"/>
      <c r="EJ74" s="31"/>
      <c r="EK74" s="31"/>
      <c r="EL74" s="31"/>
      <c r="EM74" s="31"/>
      <c r="EN74" s="31"/>
      <c r="EO74" s="31"/>
      <c r="EP74" s="31"/>
      <c r="EQ74" s="31"/>
      <c r="ER74" s="31"/>
      <c r="ES74" s="31"/>
      <c r="ET74" s="31"/>
      <c r="EU74" s="31"/>
      <c r="EV74" s="31"/>
      <c r="EW74" s="31"/>
      <c r="EX74" s="31"/>
      <c r="EY74" s="31"/>
      <c r="EZ74" s="31"/>
      <c r="FA74" s="31"/>
      <c r="FB74" s="31"/>
      <c r="FC74" s="31"/>
      <c r="FD74" s="31"/>
      <c r="FE74" s="31"/>
      <c r="FF74" s="31"/>
      <c r="FG74" s="31"/>
      <c r="FH74" s="31"/>
      <c r="FI74" s="31"/>
      <c r="FJ74" s="31"/>
      <c r="FK74" s="31"/>
      <c r="FL74" s="31"/>
      <c r="FM74" s="31"/>
      <c r="FN74" s="31"/>
      <c r="FO74" s="31"/>
      <c r="FP74" s="31"/>
      <c r="FQ74" s="31"/>
      <c r="FR74" s="31"/>
      <c r="FS74" s="31"/>
      <c r="FT74" s="31"/>
      <c r="FU74" s="31"/>
      <c r="FV74" s="31"/>
      <c r="FW74" s="31"/>
      <c r="FX74" s="31"/>
      <c r="FY74" s="31"/>
      <c r="FZ74" s="31"/>
      <c r="GA74" s="31"/>
      <c r="GB74" s="31"/>
      <c r="GC74" s="31"/>
      <c r="GD74" s="31"/>
      <c r="GE74" s="31"/>
      <c r="GF74" s="31"/>
      <c r="GG74" s="31"/>
      <c r="GH74" s="31"/>
      <c r="GI74" s="31"/>
      <c r="GJ74" s="31"/>
      <c r="GK74" s="31"/>
      <c r="GL74" s="31"/>
      <c r="GM74" s="31"/>
      <c r="GN74" s="31"/>
      <c r="GO74" s="31"/>
      <c r="GP74" s="31"/>
      <c r="GQ74" s="31"/>
      <c r="GR74" s="31"/>
      <c r="GS74" s="31"/>
      <c r="GT74" s="31"/>
      <c r="GU74" s="31"/>
      <c r="GV74" s="31"/>
      <c r="GW74" s="31"/>
      <c r="GX74" s="31"/>
      <c r="GY74" s="31"/>
      <c r="GZ74" s="31"/>
      <c r="HA74" s="31"/>
      <c r="HB74" s="31"/>
      <c r="HC74" s="31"/>
      <c r="HD74" s="31"/>
      <c r="HE74" s="31"/>
      <c r="HF74" s="31"/>
      <c r="HG74" s="31"/>
      <c r="HH74" s="31"/>
      <c r="HI74" s="31"/>
      <c r="HJ74" s="31"/>
      <c r="HK74" s="31"/>
      <c r="HL74" s="31"/>
      <c r="HM74" s="31"/>
      <c r="HN74" s="31"/>
      <c r="HO74" s="31"/>
      <c r="HP74" s="31"/>
      <c r="HQ74" s="31"/>
      <c r="HR74" s="31"/>
      <c r="HS74" s="31"/>
      <c r="HT74" s="31"/>
      <c r="HU74" s="31"/>
      <c r="HV74" s="31"/>
      <c r="HW74" s="31"/>
      <c r="HX74" s="31"/>
      <c r="HY74" s="31"/>
      <c r="HZ74" s="31"/>
    </row>
    <row r="75" spans="1:234" ht="14.25" customHeight="1" x14ac:dyDescent="0.35">
      <c r="A75" s="84" t="s">
        <v>116</v>
      </c>
      <c r="B75" s="85">
        <f t="shared" ref="B75:O75" si="11">(B19-B74)</f>
        <v>80000000</v>
      </c>
      <c r="C75" s="85">
        <f t="shared" si="11"/>
        <v>-7058958.900000006</v>
      </c>
      <c r="D75" s="85">
        <f t="shared" si="11"/>
        <v>-808596</v>
      </c>
      <c r="E75" s="85">
        <f>(E19-E74)</f>
        <v>3356765</v>
      </c>
      <c r="F75" s="85">
        <f t="shared" si="11"/>
        <v>20093279.600000001</v>
      </c>
      <c r="G75" s="85">
        <f t="shared" si="11"/>
        <v>29245997.099999994</v>
      </c>
      <c r="H75" s="85">
        <f t="shared" si="11"/>
        <v>34286975.599999994</v>
      </c>
      <c r="I75" s="85">
        <f t="shared" si="11"/>
        <v>21471313.099999994</v>
      </c>
      <c r="J75" s="85">
        <f t="shared" si="11"/>
        <v>74467365.599999994</v>
      </c>
      <c r="K75" s="85">
        <f t="shared" si="11"/>
        <v>132469634.09999999</v>
      </c>
      <c r="L75" s="85">
        <f t="shared" si="11"/>
        <v>197471902.59999999</v>
      </c>
      <c r="M75" s="85">
        <f t="shared" si="11"/>
        <v>262474171.10000002</v>
      </c>
      <c r="N75" s="85">
        <f t="shared" si="11"/>
        <v>327476439.60000002</v>
      </c>
      <c r="O75" s="85">
        <f t="shared" si="11"/>
        <v>391728708.10000002</v>
      </c>
      <c r="P75" s="47"/>
      <c r="Q75" s="47"/>
      <c r="R75" s="47"/>
      <c r="S75" s="27"/>
      <c r="T75" s="30"/>
      <c r="U75" s="27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  <c r="BO75" s="31"/>
      <c r="BP75" s="31"/>
      <c r="BQ75" s="31"/>
      <c r="BR75" s="31"/>
      <c r="BS75" s="31"/>
      <c r="BT75" s="31"/>
      <c r="BU75" s="31"/>
      <c r="BV75" s="31"/>
      <c r="BW75" s="31"/>
      <c r="BX75" s="31"/>
      <c r="BY75" s="31"/>
      <c r="BZ75" s="31"/>
      <c r="CA75" s="31"/>
      <c r="CB75" s="31"/>
      <c r="CC75" s="31"/>
      <c r="CD75" s="31"/>
      <c r="CE75" s="31"/>
      <c r="CF75" s="31"/>
      <c r="CG75" s="31"/>
      <c r="CH75" s="31"/>
      <c r="CI75" s="31"/>
      <c r="CJ75" s="31"/>
      <c r="CK75" s="31"/>
      <c r="CL75" s="31"/>
      <c r="CM75" s="31"/>
      <c r="CN75" s="31"/>
      <c r="CO75" s="31"/>
      <c r="CP75" s="31"/>
      <c r="CQ75" s="31"/>
      <c r="CR75" s="31"/>
      <c r="CS75" s="31"/>
      <c r="CT75" s="31"/>
      <c r="CU75" s="31"/>
      <c r="CV75" s="31"/>
      <c r="CW75" s="31"/>
      <c r="CX75" s="31"/>
      <c r="CY75" s="31"/>
      <c r="CZ75" s="31"/>
      <c r="DA75" s="31"/>
      <c r="DB75" s="31"/>
      <c r="DC75" s="31"/>
      <c r="DD75" s="31"/>
      <c r="DE75" s="31"/>
      <c r="DF75" s="31"/>
      <c r="DG75" s="31"/>
      <c r="DH75" s="31"/>
      <c r="DI75" s="31"/>
      <c r="DJ75" s="31"/>
      <c r="DK75" s="31"/>
      <c r="DL75" s="31"/>
      <c r="DM75" s="31"/>
      <c r="DN75" s="31"/>
      <c r="DO75" s="31"/>
      <c r="DP75" s="31"/>
      <c r="DQ75" s="31"/>
      <c r="DR75" s="31"/>
      <c r="DS75" s="31"/>
      <c r="DT75" s="31"/>
      <c r="DU75" s="31"/>
      <c r="DV75" s="31"/>
      <c r="DW75" s="31"/>
      <c r="DX75" s="31"/>
      <c r="DY75" s="31"/>
      <c r="DZ75" s="31"/>
      <c r="EA75" s="31"/>
      <c r="EB75" s="31"/>
      <c r="EC75" s="31"/>
      <c r="ED75" s="31"/>
      <c r="EE75" s="31"/>
      <c r="EF75" s="31"/>
      <c r="EG75" s="31"/>
      <c r="EH75" s="31"/>
      <c r="EI75" s="31"/>
      <c r="EJ75" s="31"/>
      <c r="EK75" s="31"/>
      <c r="EL75" s="31"/>
      <c r="EM75" s="31"/>
      <c r="EN75" s="31"/>
      <c r="EO75" s="31"/>
      <c r="EP75" s="31"/>
      <c r="EQ75" s="31"/>
      <c r="ER75" s="31"/>
      <c r="ES75" s="31"/>
      <c r="ET75" s="31"/>
      <c r="EU75" s="31"/>
      <c r="EV75" s="31"/>
      <c r="EW75" s="31"/>
      <c r="EX75" s="31"/>
      <c r="EY75" s="31"/>
      <c r="EZ75" s="31"/>
      <c r="FA75" s="31"/>
      <c r="FB75" s="31"/>
      <c r="FC75" s="31"/>
      <c r="FD75" s="31"/>
      <c r="FE75" s="31"/>
      <c r="FF75" s="31"/>
      <c r="FG75" s="31"/>
      <c r="FH75" s="31"/>
      <c r="FI75" s="31"/>
      <c r="FJ75" s="31"/>
      <c r="FK75" s="31"/>
      <c r="FL75" s="31"/>
      <c r="FM75" s="31"/>
      <c r="FN75" s="31"/>
      <c r="FO75" s="31"/>
      <c r="FP75" s="31"/>
      <c r="FQ75" s="31"/>
      <c r="FR75" s="31"/>
      <c r="FS75" s="31"/>
      <c r="FT75" s="31"/>
      <c r="FU75" s="31"/>
      <c r="FV75" s="31"/>
      <c r="FW75" s="31"/>
      <c r="FX75" s="31"/>
      <c r="FY75" s="31"/>
      <c r="FZ75" s="31"/>
      <c r="GA75" s="31"/>
      <c r="GB75" s="31"/>
      <c r="GC75" s="31"/>
      <c r="GD75" s="31"/>
      <c r="GE75" s="31"/>
      <c r="GF75" s="31"/>
      <c r="GG75" s="31"/>
      <c r="GH75" s="31"/>
      <c r="GI75" s="31"/>
      <c r="GJ75" s="31"/>
      <c r="GK75" s="31"/>
      <c r="GL75" s="31"/>
      <c r="GM75" s="31"/>
      <c r="GN75" s="31"/>
      <c r="GO75" s="31"/>
      <c r="GP75" s="31"/>
      <c r="GQ75" s="31"/>
      <c r="GR75" s="31"/>
      <c r="GS75" s="31"/>
      <c r="GT75" s="31"/>
      <c r="GU75" s="31"/>
      <c r="GV75" s="31"/>
      <c r="GW75" s="31"/>
      <c r="GX75" s="31"/>
      <c r="GY75" s="31"/>
      <c r="GZ75" s="31"/>
      <c r="HA75" s="31"/>
      <c r="HB75" s="31"/>
      <c r="HC75" s="31"/>
      <c r="HD75" s="31"/>
      <c r="HE75" s="31"/>
      <c r="HF75" s="31"/>
      <c r="HG75" s="31"/>
      <c r="HH75" s="31"/>
      <c r="HI75" s="31"/>
      <c r="HJ75" s="31"/>
      <c r="HK75" s="31"/>
      <c r="HL75" s="31"/>
      <c r="HM75" s="31"/>
      <c r="HN75" s="31"/>
      <c r="HO75" s="31"/>
      <c r="HP75" s="31"/>
      <c r="HQ75" s="31"/>
      <c r="HR75" s="31"/>
      <c r="HS75" s="31"/>
      <c r="HT75" s="31"/>
      <c r="HU75" s="31"/>
      <c r="HV75" s="31"/>
      <c r="HW75" s="31"/>
      <c r="HX75" s="31"/>
      <c r="HY75" s="31"/>
      <c r="HZ75" s="31"/>
    </row>
    <row r="76" spans="1:234" ht="14.25" customHeight="1" x14ac:dyDescent="0.35">
      <c r="A76" s="55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27"/>
      <c r="Q76" s="27"/>
      <c r="R76" s="27"/>
      <c r="S76" s="27"/>
      <c r="T76" s="30"/>
      <c r="U76" s="27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  <c r="BN76" s="31"/>
      <c r="BO76" s="31"/>
      <c r="BP76" s="31"/>
      <c r="BQ76" s="31"/>
      <c r="BR76" s="31"/>
      <c r="BS76" s="31"/>
      <c r="BT76" s="31"/>
      <c r="BU76" s="31"/>
      <c r="BV76" s="31"/>
      <c r="BW76" s="31"/>
      <c r="BX76" s="31"/>
      <c r="BY76" s="31"/>
      <c r="BZ76" s="31"/>
      <c r="CA76" s="31"/>
      <c r="CB76" s="31"/>
      <c r="CC76" s="31"/>
      <c r="CD76" s="31"/>
      <c r="CE76" s="31"/>
      <c r="CF76" s="31"/>
      <c r="CG76" s="31"/>
      <c r="CH76" s="31"/>
      <c r="CI76" s="31"/>
      <c r="CJ76" s="31"/>
      <c r="CK76" s="31"/>
      <c r="CL76" s="31"/>
      <c r="CM76" s="31"/>
      <c r="CN76" s="31"/>
      <c r="CO76" s="31"/>
      <c r="CP76" s="31"/>
      <c r="CQ76" s="31"/>
      <c r="CR76" s="31"/>
      <c r="CS76" s="31"/>
      <c r="CT76" s="31"/>
      <c r="CU76" s="31"/>
      <c r="CV76" s="31"/>
      <c r="CW76" s="31"/>
      <c r="CX76" s="31"/>
      <c r="CY76" s="31"/>
      <c r="CZ76" s="31"/>
      <c r="DA76" s="31"/>
      <c r="DB76" s="31"/>
      <c r="DC76" s="31"/>
      <c r="DD76" s="31"/>
      <c r="DE76" s="31"/>
      <c r="DF76" s="31"/>
      <c r="DG76" s="31"/>
      <c r="DH76" s="31"/>
      <c r="DI76" s="31"/>
      <c r="DJ76" s="31"/>
      <c r="DK76" s="31"/>
      <c r="DL76" s="31"/>
      <c r="DM76" s="31"/>
      <c r="DN76" s="31"/>
      <c r="DO76" s="31"/>
      <c r="DP76" s="31"/>
      <c r="DQ76" s="31"/>
      <c r="DR76" s="31"/>
      <c r="DS76" s="31"/>
      <c r="DT76" s="31"/>
      <c r="DU76" s="31"/>
      <c r="DV76" s="31"/>
      <c r="DW76" s="31"/>
      <c r="DX76" s="31"/>
      <c r="DY76" s="31"/>
      <c r="DZ76" s="31"/>
      <c r="EA76" s="31"/>
      <c r="EB76" s="31"/>
      <c r="EC76" s="31"/>
      <c r="ED76" s="31"/>
      <c r="EE76" s="31"/>
      <c r="EF76" s="31"/>
      <c r="EG76" s="31"/>
      <c r="EH76" s="31"/>
      <c r="EI76" s="31"/>
      <c r="EJ76" s="31"/>
      <c r="EK76" s="31"/>
      <c r="EL76" s="31"/>
      <c r="EM76" s="31"/>
      <c r="EN76" s="31"/>
      <c r="EO76" s="31"/>
      <c r="EP76" s="31"/>
      <c r="EQ76" s="31"/>
      <c r="ER76" s="31"/>
      <c r="ES76" s="31"/>
      <c r="ET76" s="31"/>
      <c r="EU76" s="31"/>
      <c r="EV76" s="31"/>
      <c r="EW76" s="31"/>
      <c r="EX76" s="31"/>
      <c r="EY76" s="31"/>
      <c r="EZ76" s="31"/>
      <c r="FA76" s="31"/>
      <c r="FB76" s="31"/>
      <c r="FC76" s="31"/>
      <c r="FD76" s="31"/>
      <c r="FE76" s="31"/>
      <c r="FF76" s="31"/>
      <c r="FG76" s="31"/>
      <c r="FH76" s="31"/>
      <c r="FI76" s="31"/>
      <c r="FJ76" s="31"/>
      <c r="FK76" s="31"/>
      <c r="FL76" s="31"/>
      <c r="FM76" s="31"/>
      <c r="FN76" s="31"/>
      <c r="FO76" s="31"/>
      <c r="FP76" s="31"/>
      <c r="FQ76" s="31"/>
      <c r="FR76" s="31"/>
      <c r="FS76" s="31"/>
      <c r="FT76" s="31"/>
      <c r="FU76" s="31"/>
      <c r="FV76" s="31"/>
      <c r="FW76" s="31"/>
      <c r="FX76" s="31"/>
      <c r="FY76" s="31"/>
      <c r="FZ76" s="31"/>
      <c r="GA76" s="31"/>
      <c r="GB76" s="31"/>
      <c r="GC76" s="31"/>
      <c r="GD76" s="31"/>
      <c r="GE76" s="31"/>
      <c r="GF76" s="31"/>
      <c r="GG76" s="31"/>
      <c r="GH76" s="31"/>
      <c r="GI76" s="31"/>
      <c r="GJ76" s="31"/>
      <c r="GK76" s="31"/>
      <c r="GL76" s="31"/>
      <c r="GM76" s="31"/>
      <c r="GN76" s="31"/>
      <c r="GO76" s="31"/>
      <c r="GP76" s="31"/>
      <c r="GQ76" s="31"/>
      <c r="GR76" s="31"/>
      <c r="GS76" s="31"/>
      <c r="GT76" s="31"/>
      <c r="GU76" s="31"/>
      <c r="GV76" s="31"/>
      <c r="GW76" s="31"/>
      <c r="GX76" s="31"/>
      <c r="GY76" s="31"/>
      <c r="GZ76" s="31"/>
      <c r="HA76" s="31"/>
      <c r="HB76" s="31"/>
      <c r="HC76" s="31"/>
      <c r="HD76" s="31"/>
      <c r="HE76" s="31"/>
      <c r="HF76" s="31"/>
      <c r="HG76" s="31"/>
      <c r="HH76" s="31"/>
      <c r="HI76" s="31"/>
      <c r="HJ76" s="31"/>
      <c r="HK76" s="31"/>
      <c r="HL76" s="31"/>
      <c r="HM76" s="31"/>
      <c r="HN76" s="31"/>
      <c r="HO76" s="31"/>
      <c r="HP76" s="31"/>
      <c r="HQ76" s="31"/>
      <c r="HR76" s="31"/>
      <c r="HS76" s="31"/>
      <c r="HT76" s="31"/>
      <c r="HU76" s="31"/>
      <c r="HV76" s="31"/>
      <c r="HW76" s="31"/>
      <c r="HX76" s="31"/>
      <c r="HY76" s="31"/>
      <c r="HZ76" s="31"/>
    </row>
    <row r="77" spans="1:234" ht="14.25" customHeight="1" x14ac:dyDescent="0.35">
      <c r="A77" s="55" t="s">
        <v>152</v>
      </c>
      <c r="B77" s="86"/>
      <c r="C77" s="86"/>
      <c r="D77" s="86">
        <v>66.36</v>
      </c>
      <c r="E77" s="86">
        <v>590.72</v>
      </c>
      <c r="F77" s="86">
        <v>762.75</v>
      </c>
      <c r="G77" s="86">
        <v>679</v>
      </c>
      <c r="H77" s="86">
        <v>778</v>
      </c>
      <c r="I77" s="86"/>
      <c r="J77" s="86"/>
      <c r="K77" s="86"/>
      <c r="L77" s="86"/>
      <c r="M77" s="86"/>
      <c r="N77" s="86"/>
      <c r="O77" s="86"/>
      <c r="P77" s="27"/>
      <c r="Q77" s="27"/>
      <c r="R77" s="27"/>
      <c r="S77" s="27"/>
      <c r="T77" s="30"/>
      <c r="U77" s="27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  <c r="BO77" s="31"/>
      <c r="BP77" s="31"/>
      <c r="BQ77" s="31"/>
      <c r="BR77" s="31"/>
      <c r="BS77" s="31"/>
      <c r="BT77" s="31"/>
      <c r="BU77" s="31"/>
      <c r="BV77" s="31"/>
      <c r="BW77" s="31"/>
      <c r="BX77" s="31"/>
      <c r="BY77" s="31"/>
      <c r="BZ77" s="31"/>
      <c r="CA77" s="31"/>
      <c r="CB77" s="31"/>
      <c r="CC77" s="31"/>
      <c r="CD77" s="31"/>
      <c r="CE77" s="31"/>
      <c r="CF77" s="31"/>
      <c r="CG77" s="31"/>
      <c r="CH77" s="31"/>
      <c r="CI77" s="31"/>
      <c r="CJ77" s="31"/>
      <c r="CK77" s="31"/>
      <c r="CL77" s="31"/>
      <c r="CM77" s="31"/>
      <c r="CN77" s="31"/>
      <c r="CO77" s="31"/>
      <c r="CP77" s="31"/>
      <c r="CQ77" s="31"/>
      <c r="CR77" s="31"/>
      <c r="CS77" s="31"/>
      <c r="CT77" s="31"/>
      <c r="CU77" s="31"/>
      <c r="CV77" s="31"/>
      <c r="CW77" s="31"/>
      <c r="CX77" s="31"/>
      <c r="CY77" s="31"/>
      <c r="CZ77" s="31"/>
      <c r="DA77" s="31"/>
      <c r="DB77" s="31"/>
      <c r="DC77" s="31"/>
      <c r="DD77" s="31"/>
      <c r="DE77" s="31"/>
      <c r="DF77" s="31"/>
      <c r="DG77" s="31"/>
      <c r="DH77" s="31"/>
      <c r="DI77" s="31"/>
      <c r="DJ77" s="31"/>
      <c r="DK77" s="31"/>
      <c r="DL77" s="31"/>
      <c r="DM77" s="31"/>
      <c r="DN77" s="31"/>
      <c r="DO77" s="31"/>
      <c r="DP77" s="31"/>
      <c r="DQ77" s="31"/>
      <c r="DR77" s="31"/>
      <c r="DS77" s="31"/>
      <c r="DT77" s="31"/>
      <c r="DU77" s="31"/>
      <c r="DV77" s="31"/>
      <c r="DW77" s="31"/>
      <c r="DX77" s="31"/>
      <c r="DY77" s="31"/>
      <c r="DZ77" s="31"/>
      <c r="EA77" s="31"/>
      <c r="EB77" s="31"/>
      <c r="EC77" s="31"/>
      <c r="ED77" s="31"/>
      <c r="EE77" s="31"/>
      <c r="EF77" s="31"/>
      <c r="EG77" s="31"/>
      <c r="EH77" s="31"/>
      <c r="EI77" s="31"/>
      <c r="EJ77" s="31"/>
      <c r="EK77" s="31"/>
      <c r="EL77" s="31"/>
      <c r="EM77" s="31"/>
      <c r="EN77" s="31"/>
      <c r="EO77" s="31"/>
      <c r="EP77" s="31"/>
      <c r="EQ77" s="31"/>
      <c r="ER77" s="31"/>
      <c r="ES77" s="31"/>
      <c r="ET77" s="31"/>
      <c r="EU77" s="31"/>
      <c r="EV77" s="31"/>
      <c r="EW77" s="31"/>
      <c r="EX77" s="31"/>
      <c r="EY77" s="31"/>
      <c r="EZ77" s="31"/>
      <c r="FA77" s="31"/>
      <c r="FB77" s="31"/>
      <c r="FC77" s="31"/>
      <c r="FD77" s="31"/>
      <c r="FE77" s="31"/>
      <c r="FF77" s="31"/>
      <c r="FG77" s="31"/>
      <c r="FH77" s="31"/>
      <c r="FI77" s="31"/>
      <c r="FJ77" s="31"/>
      <c r="FK77" s="31"/>
      <c r="FL77" s="31"/>
      <c r="FM77" s="31"/>
      <c r="FN77" s="31"/>
      <c r="FO77" s="31"/>
      <c r="FP77" s="31"/>
      <c r="FQ77" s="31"/>
      <c r="FR77" s="31"/>
      <c r="FS77" s="31"/>
      <c r="FT77" s="31"/>
      <c r="FU77" s="31"/>
      <c r="FV77" s="31"/>
      <c r="FW77" s="31"/>
      <c r="FX77" s="31"/>
      <c r="FY77" s="31"/>
      <c r="FZ77" s="31"/>
      <c r="GA77" s="31"/>
      <c r="GB77" s="31"/>
      <c r="GC77" s="31"/>
      <c r="GD77" s="31"/>
      <c r="GE77" s="31"/>
      <c r="GF77" s="31"/>
      <c r="GG77" s="31"/>
      <c r="GH77" s="31"/>
      <c r="GI77" s="31"/>
      <c r="GJ77" s="31"/>
      <c r="GK77" s="31"/>
      <c r="GL77" s="31"/>
      <c r="GM77" s="31"/>
      <c r="GN77" s="31"/>
      <c r="GO77" s="31"/>
      <c r="GP77" s="31"/>
      <c r="GQ77" s="31"/>
      <c r="GR77" s="31"/>
      <c r="GS77" s="31"/>
      <c r="GT77" s="31"/>
      <c r="GU77" s="31"/>
      <c r="GV77" s="31"/>
      <c r="GW77" s="31"/>
      <c r="GX77" s="31"/>
      <c r="GY77" s="31"/>
      <c r="GZ77" s="31"/>
      <c r="HA77" s="31"/>
      <c r="HB77" s="31"/>
      <c r="HC77" s="31"/>
      <c r="HD77" s="31"/>
      <c r="HE77" s="31"/>
      <c r="HF77" s="31"/>
      <c r="HG77" s="31"/>
      <c r="HH77" s="31"/>
      <c r="HI77" s="31"/>
      <c r="HJ77" s="31"/>
      <c r="HK77" s="31"/>
      <c r="HL77" s="31"/>
      <c r="HM77" s="31"/>
      <c r="HN77" s="31"/>
      <c r="HO77" s="31"/>
      <c r="HP77" s="31"/>
      <c r="HQ77" s="31"/>
      <c r="HR77" s="31"/>
      <c r="HS77" s="31"/>
      <c r="HT77" s="31"/>
      <c r="HU77" s="31"/>
      <c r="HV77" s="31"/>
      <c r="HW77" s="31"/>
      <c r="HX77" s="31"/>
      <c r="HY77" s="31"/>
      <c r="HZ77" s="31"/>
    </row>
    <row r="78" spans="1:234" ht="14.25" customHeight="1" x14ac:dyDescent="0.35">
      <c r="A78" s="87" t="s">
        <v>171</v>
      </c>
      <c r="B78" s="58"/>
      <c r="C78" s="58"/>
      <c r="D78" s="58">
        <f>+D16/D77</f>
        <v>172496.63954189271</v>
      </c>
      <c r="E78" s="58">
        <f>+E16/E77</f>
        <v>58728.331527627299</v>
      </c>
      <c r="F78" s="58">
        <f>+F16/F77</f>
        <v>106716.35529334644</v>
      </c>
      <c r="G78" s="58">
        <f>+G16/G77</f>
        <v>107077.17231222386</v>
      </c>
      <c r="H78" s="58">
        <f>+H16/H77</f>
        <v>140528.1233933162</v>
      </c>
      <c r="I78" s="58"/>
      <c r="J78" s="58"/>
      <c r="K78" s="58"/>
      <c r="L78" s="58"/>
      <c r="M78" s="58"/>
      <c r="N78" s="58"/>
      <c r="O78" s="58"/>
      <c r="P78" s="27"/>
      <c r="Q78" s="27"/>
      <c r="R78" s="27"/>
      <c r="S78" s="27"/>
      <c r="T78" s="30"/>
      <c r="U78" s="27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  <c r="BO78" s="31"/>
      <c r="BP78" s="31"/>
      <c r="BQ78" s="31"/>
      <c r="BR78" s="31"/>
      <c r="BS78" s="31"/>
      <c r="BT78" s="31"/>
      <c r="BU78" s="31"/>
      <c r="BV78" s="31"/>
      <c r="BW78" s="31"/>
      <c r="BX78" s="31"/>
      <c r="BY78" s="31"/>
      <c r="BZ78" s="31"/>
      <c r="CA78" s="31"/>
      <c r="CB78" s="31"/>
      <c r="CC78" s="31"/>
      <c r="CD78" s="31"/>
      <c r="CE78" s="31"/>
      <c r="CF78" s="31"/>
      <c r="CG78" s="31"/>
      <c r="CH78" s="31"/>
      <c r="CI78" s="31"/>
      <c r="CJ78" s="31"/>
      <c r="CK78" s="31"/>
      <c r="CL78" s="31"/>
      <c r="CM78" s="31"/>
      <c r="CN78" s="31"/>
      <c r="CO78" s="31"/>
      <c r="CP78" s="31"/>
      <c r="CQ78" s="31"/>
      <c r="CR78" s="31"/>
      <c r="CS78" s="31"/>
      <c r="CT78" s="31"/>
      <c r="CU78" s="31"/>
      <c r="CV78" s="31"/>
      <c r="CW78" s="31"/>
      <c r="CX78" s="31"/>
      <c r="CY78" s="31"/>
      <c r="CZ78" s="31"/>
      <c r="DA78" s="31"/>
      <c r="DB78" s="31"/>
      <c r="DC78" s="31"/>
      <c r="DD78" s="31"/>
      <c r="DE78" s="31"/>
      <c r="DF78" s="31"/>
      <c r="DG78" s="31"/>
      <c r="DH78" s="31"/>
      <c r="DI78" s="31"/>
      <c r="DJ78" s="31"/>
      <c r="DK78" s="31"/>
      <c r="DL78" s="31"/>
      <c r="DM78" s="31"/>
      <c r="DN78" s="31"/>
      <c r="DO78" s="31"/>
      <c r="DP78" s="31"/>
      <c r="DQ78" s="31"/>
      <c r="DR78" s="31"/>
      <c r="DS78" s="31"/>
      <c r="DT78" s="31"/>
      <c r="DU78" s="31"/>
      <c r="DV78" s="31"/>
      <c r="DW78" s="31"/>
      <c r="DX78" s="31"/>
      <c r="DY78" s="31"/>
      <c r="DZ78" s="31"/>
      <c r="EA78" s="31"/>
      <c r="EB78" s="31"/>
      <c r="EC78" s="31"/>
      <c r="ED78" s="31"/>
      <c r="EE78" s="31"/>
      <c r="EF78" s="31"/>
      <c r="EG78" s="31"/>
      <c r="EH78" s="31"/>
      <c r="EI78" s="31"/>
      <c r="EJ78" s="31"/>
      <c r="EK78" s="31"/>
      <c r="EL78" s="31"/>
      <c r="EM78" s="31"/>
      <c r="EN78" s="31"/>
      <c r="EO78" s="31"/>
      <c r="EP78" s="31"/>
      <c r="EQ78" s="31"/>
      <c r="ER78" s="31"/>
      <c r="ES78" s="31"/>
      <c r="ET78" s="31"/>
      <c r="EU78" s="31"/>
      <c r="EV78" s="31"/>
      <c r="EW78" s="31"/>
      <c r="EX78" s="31"/>
      <c r="EY78" s="31"/>
      <c r="EZ78" s="31"/>
      <c r="FA78" s="31"/>
      <c r="FB78" s="31"/>
      <c r="FC78" s="31"/>
      <c r="FD78" s="31"/>
      <c r="FE78" s="31"/>
      <c r="FF78" s="31"/>
      <c r="FG78" s="31"/>
      <c r="FH78" s="31"/>
      <c r="FI78" s="31"/>
      <c r="FJ78" s="31"/>
      <c r="FK78" s="31"/>
      <c r="FL78" s="31"/>
      <c r="FM78" s="31"/>
      <c r="FN78" s="31"/>
      <c r="FO78" s="31"/>
      <c r="FP78" s="31"/>
      <c r="FQ78" s="31"/>
      <c r="FR78" s="31"/>
      <c r="FS78" s="31"/>
      <c r="FT78" s="31"/>
      <c r="FU78" s="31"/>
      <c r="FV78" s="31"/>
      <c r="FW78" s="31"/>
      <c r="FX78" s="31"/>
      <c r="FY78" s="31"/>
      <c r="FZ78" s="31"/>
      <c r="GA78" s="31"/>
      <c r="GB78" s="31"/>
      <c r="GC78" s="31"/>
      <c r="GD78" s="31"/>
      <c r="GE78" s="31"/>
      <c r="GF78" s="31"/>
      <c r="GG78" s="31"/>
      <c r="GH78" s="31"/>
      <c r="GI78" s="31"/>
      <c r="GJ78" s="31"/>
      <c r="GK78" s="31"/>
      <c r="GL78" s="31"/>
      <c r="GM78" s="31"/>
      <c r="GN78" s="31"/>
      <c r="GO78" s="31"/>
      <c r="GP78" s="31"/>
      <c r="GQ78" s="31"/>
      <c r="GR78" s="31"/>
      <c r="GS78" s="31"/>
      <c r="GT78" s="31"/>
      <c r="GU78" s="31"/>
      <c r="GV78" s="31"/>
      <c r="GW78" s="31"/>
      <c r="GX78" s="31"/>
      <c r="GY78" s="31"/>
      <c r="GZ78" s="31"/>
      <c r="HA78" s="31"/>
      <c r="HB78" s="31"/>
      <c r="HC78" s="31"/>
      <c r="HD78" s="31"/>
      <c r="HE78" s="31"/>
      <c r="HF78" s="31"/>
      <c r="HG78" s="31"/>
      <c r="HH78" s="31"/>
      <c r="HI78" s="31"/>
      <c r="HJ78" s="31"/>
      <c r="HK78" s="31"/>
      <c r="HL78" s="31"/>
      <c r="HM78" s="31"/>
      <c r="HN78" s="31"/>
      <c r="HO78" s="31"/>
      <c r="HP78" s="31"/>
      <c r="HQ78" s="31"/>
      <c r="HR78" s="31"/>
      <c r="HS78" s="31"/>
      <c r="HT78" s="31"/>
      <c r="HU78" s="31"/>
      <c r="HV78" s="31"/>
      <c r="HW78" s="31"/>
      <c r="HX78" s="31"/>
      <c r="HY78" s="31"/>
      <c r="HZ78" s="31"/>
    </row>
    <row r="79" spans="1:234" ht="14.25" customHeight="1" x14ac:dyDescent="0.35">
      <c r="A79" s="55" t="s">
        <v>169</v>
      </c>
      <c r="B79" s="46"/>
      <c r="C79" s="46"/>
      <c r="D79" s="46">
        <f>SUBTOTAL(109,D27:D68)/D77</f>
        <v>184681.6305003014</v>
      </c>
      <c r="E79" s="46">
        <f>SUBTOTAL(109,E27:E68)/E77</f>
        <v>65987.422128927414</v>
      </c>
      <c r="F79" s="46">
        <f>SUBTOTAL(109,F27:F68)/F77</f>
        <v>81856.666666666672</v>
      </c>
      <c r="G79" s="46">
        <f>SUBTOTAL(109,G27:G68)/G77</f>
        <v>92861.093519882183</v>
      </c>
      <c r="H79" s="46">
        <f>SUBTOTAL(109,H27:H68)/H77</f>
        <v>91592.803984575832</v>
      </c>
      <c r="I79" s="46"/>
      <c r="J79" s="46"/>
      <c r="K79" s="46"/>
      <c r="L79" s="46"/>
      <c r="M79" s="46"/>
      <c r="N79" s="46"/>
      <c r="O79" s="46"/>
      <c r="P79" s="27"/>
      <c r="Q79" s="27"/>
      <c r="R79" s="27"/>
      <c r="S79" s="27"/>
      <c r="T79" s="30"/>
      <c r="U79" s="27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1"/>
      <c r="BP79" s="31"/>
      <c r="BQ79" s="31"/>
      <c r="BR79" s="31"/>
      <c r="BS79" s="31"/>
      <c r="BT79" s="31"/>
      <c r="BU79" s="31"/>
      <c r="BV79" s="31"/>
      <c r="BW79" s="31"/>
      <c r="BX79" s="31"/>
      <c r="BY79" s="31"/>
      <c r="BZ79" s="31"/>
      <c r="CA79" s="31"/>
      <c r="CB79" s="31"/>
      <c r="CC79" s="31"/>
      <c r="CD79" s="31"/>
      <c r="CE79" s="31"/>
      <c r="CF79" s="31"/>
      <c r="CG79" s="31"/>
      <c r="CH79" s="31"/>
      <c r="CI79" s="31"/>
      <c r="CJ79" s="31"/>
      <c r="CK79" s="31"/>
      <c r="CL79" s="31"/>
      <c r="CM79" s="31"/>
      <c r="CN79" s="31"/>
      <c r="CO79" s="31"/>
      <c r="CP79" s="31"/>
      <c r="CQ79" s="31"/>
      <c r="CR79" s="31"/>
      <c r="CS79" s="31"/>
      <c r="CT79" s="31"/>
      <c r="CU79" s="31"/>
      <c r="CV79" s="31"/>
      <c r="CW79" s="31"/>
      <c r="CX79" s="31"/>
      <c r="CY79" s="31"/>
      <c r="CZ79" s="31"/>
      <c r="DA79" s="31"/>
      <c r="DB79" s="31"/>
      <c r="DC79" s="31"/>
      <c r="DD79" s="31"/>
      <c r="DE79" s="31"/>
      <c r="DF79" s="31"/>
      <c r="DG79" s="31"/>
      <c r="DH79" s="31"/>
      <c r="DI79" s="31"/>
      <c r="DJ79" s="31"/>
      <c r="DK79" s="31"/>
      <c r="DL79" s="31"/>
      <c r="DM79" s="31"/>
      <c r="DN79" s="31"/>
      <c r="DO79" s="31"/>
      <c r="DP79" s="31"/>
      <c r="DQ79" s="31"/>
      <c r="DR79" s="31"/>
      <c r="DS79" s="31"/>
      <c r="DT79" s="31"/>
      <c r="DU79" s="31"/>
      <c r="DV79" s="31"/>
      <c r="DW79" s="31"/>
      <c r="DX79" s="31"/>
      <c r="DY79" s="31"/>
      <c r="DZ79" s="31"/>
      <c r="EA79" s="31"/>
      <c r="EB79" s="31"/>
      <c r="EC79" s="31"/>
      <c r="ED79" s="31"/>
      <c r="EE79" s="31"/>
      <c r="EF79" s="31"/>
      <c r="EG79" s="31"/>
      <c r="EH79" s="31"/>
      <c r="EI79" s="31"/>
      <c r="EJ79" s="31"/>
      <c r="EK79" s="31"/>
      <c r="EL79" s="31"/>
      <c r="EM79" s="31"/>
      <c r="EN79" s="31"/>
      <c r="EO79" s="31"/>
      <c r="EP79" s="31"/>
      <c r="EQ79" s="31"/>
      <c r="ER79" s="31"/>
      <c r="ES79" s="31"/>
      <c r="ET79" s="31"/>
      <c r="EU79" s="31"/>
      <c r="EV79" s="31"/>
      <c r="EW79" s="31"/>
      <c r="EX79" s="31"/>
      <c r="EY79" s="31"/>
      <c r="EZ79" s="31"/>
      <c r="FA79" s="31"/>
      <c r="FB79" s="31"/>
      <c r="FC79" s="31"/>
      <c r="FD79" s="31"/>
      <c r="FE79" s="31"/>
      <c r="FF79" s="31"/>
      <c r="FG79" s="31"/>
      <c r="FH79" s="31"/>
      <c r="FI79" s="31"/>
      <c r="FJ79" s="31"/>
      <c r="FK79" s="31"/>
      <c r="FL79" s="31"/>
      <c r="FM79" s="31"/>
      <c r="FN79" s="31"/>
      <c r="FO79" s="31"/>
      <c r="FP79" s="31"/>
      <c r="FQ79" s="31"/>
      <c r="FR79" s="31"/>
      <c r="FS79" s="31"/>
      <c r="FT79" s="31"/>
      <c r="FU79" s="31"/>
      <c r="FV79" s="31"/>
      <c r="FW79" s="31"/>
      <c r="FX79" s="31"/>
      <c r="FY79" s="31"/>
      <c r="FZ79" s="31"/>
      <c r="GA79" s="31"/>
      <c r="GB79" s="31"/>
      <c r="GC79" s="31"/>
      <c r="GD79" s="31"/>
      <c r="GE79" s="31"/>
      <c r="GF79" s="31"/>
      <c r="GG79" s="31"/>
      <c r="GH79" s="31"/>
      <c r="GI79" s="31"/>
      <c r="GJ79" s="31"/>
      <c r="GK79" s="31"/>
      <c r="GL79" s="31"/>
      <c r="GM79" s="31"/>
      <c r="GN79" s="31"/>
      <c r="GO79" s="31"/>
      <c r="GP79" s="31"/>
      <c r="GQ79" s="31"/>
      <c r="GR79" s="31"/>
      <c r="GS79" s="31"/>
      <c r="GT79" s="31"/>
      <c r="GU79" s="31"/>
      <c r="GV79" s="31"/>
      <c r="GW79" s="31"/>
      <c r="GX79" s="31"/>
      <c r="GY79" s="31"/>
      <c r="GZ79" s="31"/>
      <c r="HA79" s="31"/>
      <c r="HB79" s="31"/>
      <c r="HC79" s="31"/>
      <c r="HD79" s="31"/>
      <c r="HE79" s="31"/>
      <c r="HF79" s="31"/>
      <c r="HG79" s="31"/>
      <c r="HH79" s="31"/>
      <c r="HI79" s="31"/>
      <c r="HJ79" s="31"/>
      <c r="HK79" s="31"/>
      <c r="HL79" s="31"/>
      <c r="HM79" s="31"/>
      <c r="HN79" s="31"/>
      <c r="HO79" s="31"/>
      <c r="HP79" s="31"/>
      <c r="HQ79" s="31"/>
      <c r="HR79" s="31"/>
      <c r="HS79" s="31"/>
      <c r="HT79" s="31"/>
      <c r="HU79" s="31"/>
      <c r="HV79" s="31"/>
      <c r="HW79" s="31"/>
      <c r="HX79" s="31"/>
      <c r="HY79" s="31"/>
      <c r="HZ79" s="31"/>
    </row>
    <row r="80" spans="1:234" ht="14.25" customHeight="1" x14ac:dyDescent="0.35">
      <c r="A80" s="87" t="s">
        <v>170</v>
      </c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27"/>
      <c r="Q80" s="27"/>
      <c r="R80" s="27"/>
      <c r="S80" s="27"/>
      <c r="T80" s="30"/>
      <c r="U80" s="27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1"/>
      <c r="BP80" s="31"/>
      <c r="BQ80" s="31"/>
      <c r="BR80" s="31"/>
      <c r="BS80" s="31"/>
      <c r="BT80" s="31"/>
      <c r="BU80" s="31"/>
      <c r="BV80" s="31"/>
      <c r="BW80" s="31"/>
      <c r="BX80" s="31"/>
      <c r="BY80" s="31"/>
      <c r="BZ80" s="31"/>
      <c r="CA80" s="31"/>
      <c r="CB80" s="31"/>
      <c r="CC80" s="31"/>
      <c r="CD80" s="31"/>
      <c r="CE80" s="31"/>
      <c r="CF80" s="31"/>
      <c r="CG80" s="31"/>
      <c r="CH80" s="31"/>
      <c r="CI80" s="31"/>
      <c r="CJ80" s="31"/>
      <c r="CK80" s="31"/>
      <c r="CL80" s="31"/>
      <c r="CM80" s="31"/>
      <c r="CN80" s="31"/>
      <c r="CO80" s="31"/>
      <c r="CP80" s="31"/>
      <c r="CQ80" s="31"/>
      <c r="CR80" s="31"/>
      <c r="CS80" s="31"/>
      <c r="CT80" s="31"/>
      <c r="CU80" s="31"/>
      <c r="CV80" s="31"/>
      <c r="CW80" s="31"/>
      <c r="CX80" s="31"/>
      <c r="CY80" s="31"/>
      <c r="CZ80" s="31"/>
      <c r="DA80" s="31"/>
      <c r="DB80" s="31"/>
      <c r="DC80" s="31"/>
      <c r="DD80" s="31"/>
      <c r="DE80" s="31"/>
      <c r="DF80" s="31"/>
      <c r="DG80" s="31"/>
      <c r="DH80" s="31"/>
      <c r="DI80" s="31"/>
      <c r="DJ80" s="31"/>
      <c r="DK80" s="31"/>
      <c r="DL80" s="31"/>
      <c r="DM80" s="31"/>
      <c r="DN80" s="31"/>
      <c r="DO80" s="31"/>
      <c r="DP80" s="31"/>
      <c r="DQ80" s="31"/>
      <c r="DR80" s="31"/>
      <c r="DS80" s="31"/>
      <c r="DT80" s="31"/>
      <c r="DU80" s="31"/>
      <c r="DV80" s="31"/>
      <c r="DW80" s="31"/>
      <c r="DX80" s="31"/>
      <c r="DY80" s="31"/>
      <c r="DZ80" s="31"/>
      <c r="EA80" s="31"/>
      <c r="EB80" s="31"/>
      <c r="EC80" s="31"/>
      <c r="ED80" s="31"/>
      <c r="EE80" s="31"/>
      <c r="EF80" s="31"/>
      <c r="EG80" s="31"/>
      <c r="EH80" s="31"/>
      <c r="EI80" s="31"/>
      <c r="EJ80" s="31"/>
      <c r="EK80" s="31"/>
      <c r="EL80" s="31"/>
      <c r="EM80" s="31"/>
      <c r="EN80" s="31"/>
      <c r="EO80" s="31"/>
      <c r="EP80" s="31"/>
      <c r="EQ80" s="31"/>
      <c r="ER80" s="31"/>
      <c r="ES80" s="31"/>
      <c r="ET80" s="31"/>
      <c r="EU80" s="31"/>
      <c r="EV80" s="31"/>
      <c r="EW80" s="31"/>
      <c r="EX80" s="31"/>
      <c r="EY80" s="31"/>
      <c r="EZ80" s="31"/>
      <c r="FA80" s="31"/>
      <c r="FB80" s="31"/>
      <c r="FC80" s="31"/>
      <c r="FD80" s="31"/>
      <c r="FE80" s="31"/>
      <c r="FF80" s="31"/>
      <c r="FG80" s="31"/>
      <c r="FH80" s="31"/>
      <c r="FI80" s="31"/>
      <c r="FJ80" s="31"/>
      <c r="FK80" s="31"/>
      <c r="FL80" s="31"/>
      <c r="FM80" s="31"/>
      <c r="FN80" s="31"/>
      <c r="FO80" s="31"/>
      <c r="FP80" s="31"/>
      <c r="FQ80" s="31"/>
      <c r="FR80" s="31"/>
      <c r="FS80" s="31"/>
      <c r="FT80" s="31"/>
      <c r="FU80" s="31"/>
      <c r="FV80" s="31"/>
      <c r="FW80" s="31"/>
      <c r="FX80" s="31"/>
      <c r="FY80" s="31"/>
      <c r="FZ80" s="31"/>
      <c r="GA80" s="31"/>
      <c r="GB80" s="31"/>
      <c r="GC80" s="31"/>
      <c r="GD80" s="31"/>
      <c r="GE80" s="31"/>
      <c r="GF80" s="31"/>
      <c r="GG80" s="31"/>
      <c r="GH80" s="31"/>
      <c r="GI80" s="31"/>
      <c r="GJ80" s="31"/>
      <c r="GK80" s="31"/>
      <c r="GL80" s="31"/>
      <c r="GM80" s="31"/>
      <c r="GN80" s="31"/>
      <c r="GO80" s="31"/>
      <c r="GP80" s="31"/>
      <c r="GQ80" s="31"/>
      <c r="GR80" s="31"/>
      <c r="GS80" s="31"/>
      <c r="GT80" s="31"/>
      <c r="GU80" s="31"/>
      <c r="GV80" s="31"/>
      <c r="GW80" s="31"/>
      <c r="GX80" s="31"/>
      <c r="GY80" s="31"/>
      <c r="GZ80" s="31"/>
      <c r="HA80" s="31"/>
      <c r="HB80" s="31"/>
      <c r="HC80" s="31"/>
      <c r="HD80" s="31"/>
      <c r="HE80" s="31"/>
      <c r="HF80" s="31"/>
      <c r="HG80" s="31"/>
      <c r="HH80" s="31"/>
      <c r="HI80" s="31"/>
      <c r="HJ80" s="31"/>
      <c r="HK80" s="31"/>
      <c r="HL80" s="31"/>
      <c r="HM80" s="31"/>
      <c r="HN80" s="31"/>
      <c r="HO80" s="31"/>
      <c r="HP80" s="31"/>
      <c r="HQ80" s="31"/>
      <c r="HR80" s="31"/>
      <c r="HS80" s="31"/>
      <c r="HT80" s="31"/>
      <c r="HU80" s="31"/>
      <c r="HV80" s="31"/>
      <c r="HW80" s="31"/>
      <c r="HX80" s="31"/>
      <c r="HY80" s="31"/>
      <c r="HZ80" s="31"/>
    </row>
    <row r="81" spans="1:234" ht="14.25" customHeight="1" x14ac:dyDescent="0.35">
      <c r="A81" s="88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30"/>
      <c r="U81" s="27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1"/>
      <c r="BP81" s="31"/>
      <c r="BQ81" s="31"/>
      <c r="BR81" s="31"/>
      <c r="BS81" s="31"/>
      <c r="BT81" s="31"/>
      <c r="BU81" s="31"/>
      <c r="BV81" s="31"/>
      <c r="BW81" s="31"/>
      <c r="BX81" s="31"/>
      <c r="BY81" s="31"/>
      <c r="BZ81" s="31"/>
      <c r="CA81" s="31"/>
      <c r="CB81" s="31"/>
      <c r="CC81" s="31"/>
      <c r="CD81" s="31"/>
      <c r="CE81" s="31"/>
      <c r="CF81" s="31"/>
      <c r="CG81" s="31"/>
      <c r="CH81" s="31"/>
      <c r="CI81" s="31"/>
      <c r="CJ81" s="31"/>
      <c r="CK81" s="31"/>
      <c r="CL81" s="31"/>
      <c r="CM81" s="31"/>
      <c r="CN81" s="31"/>
      <c r="CO81" s="31"/>
      <c r="CP81" s="31"/>
      <c r="CQ81" s="31"/>
      <c r="CR81" s="31"/>
      <c r="CS81" s="31"/>
      <c r="CT81" s="31"/>
      <c r="CU81" s="31"/>
      <c r="CV81" s="31"/>
      <c r="CW81" s="31"/>
      <c r="CX81" s="31"/>
      <c r="CY81" s="31"/>
      <c r="CZ81" s="31"/>
      <c r="DA81" s="31"/>
      <c r="DB81" s="31"/>
      <c r="DC81" s="31"/>
      <c r="DD81" s="31"/>
      <c r="DE81" s="31"/>
      <c r="DF81" s="31"/>
      <c r="DG81" s="31"/>
      <c r="DH81" s="31"/>
      <c r="DI81" s="31"/>
      <c r="DJ81" s="31"/>
      <c r="DK81" s="31"/>
      <c r="DL81" s="31"/>
      <c r="DM81" s="31"/>
      <c r="DN81" s="31"/>
      <c r="DO81" s="31"/>
      <c r="DP81" s="31"/>
      <c r="DQ81" s="31"/>
      <c r="DR81" s="31"/>
      <c r="DS81" s="31"/>
      <c r="DT81" s="31"/>
      <c r="DU81" s="31"/>
      <c r="DV81" s="31"/>
      <c r="DW81" s="31"/>
      <c r="DX81" s="31"/>
      <c r="DY81" s="31"/>
      <c r="DZ81" s="31"/>
      <c r="EA81" s="31"/>
      <c r="EB81" s="31"/>
      <c r="EC81" s="31"/>
      <c r="ED81" s="31"/>
      <c r="EE81" s="31"/>
      <c r="EF81" s="31"/>
      <c r="EG81" s="31"/>
      <c r="EH81" s="31"/>
      <c r="EI81" s="31"/>
      <c r="EJ81" s="31"/>
      <c r="EK81" s="31"/>
      <c r="EL81" s="31"/>
      <c r="EM81" s="31"/>
      <c r="EN81" s="31"/>
      <c r="EO81" s="31"/>
      <c r="EP81" s="31"/>
      <c r="EQ81" s="31"/>
      <c r="ER81" s="31"/>
      <c r="ES81" s="31"/>
      <c r="ET81" s="31"/>
      <c r="EU81" s="31"/>
      <c r="EV81" s="31"/>
      <c r="EW81" s="31"/>
      <c r="EX81" s="31"/>
      <c r="EY81" s="31"/>
      <c r="EZ81" s="31"/>
      <c r="FA81" s="31"/>
      <c r="FB81" s="31"/>
      <c r="FC81" s="31"/>
      <c r="FD81" s="31"/>
      <c r="FE81" s="31"/>
      <c r="FF81" s="31"/>
      <c r="FG81" s="31"/>
      <c r="FH81" s="31"/>
      <c r="FI81" s="31"/>
      <c r="FJ81" s="31"/>
      <c r="FK81" s="31"/>
      <c r="FL81" s="31"/>
      <c r="FM81" s="31"/>
      <c r="FN81" s="31"/>
      <c r="FO81" s="31"/>
      <c r="FP81" s="31"/>
      <c r="FQ81" s="31"/>
      <c r="FR81" s="31"/>
      <c r="FS81" s="31"/>
      <c r="FT81" s="31"/>
      <c r="FU81" s="31"/>
      <c r="FV81" s="31"/>
      <c r="FW81" s="31"/>
      <c r="FX81" s="31"/>
      <c r="FY81" s="31"/>
      <c r="FZ81" s="31"/>
      <c r="GA81" s="31"/>
      <c r="GB81" s="31"/>
      <c r="GC81" s="31"/>
      <c r="GD81" s="31"/>
      <c r="GE81" s="31"/>
      <c r="GF81" s="31"/>
      <c r="GG81" s="31"/>
      <c r="GH81" s="31"/>
      <c r="GI81" s="31"/>
      <c r="GJ81" s="31"/>
      <c r="GK81" s="31"/>
      <c r="GL81" s="31"/>
      <c r="GM81" s="31"/>
      <c r="GN81" s="31"/>
      <c r="GO81" s="31"/>
      <c r="GP81" s="31"/>
      <c r="GQ81" s="31"/>
      <c r="GR81" s="31"/>
      <c r="GS81" s="31"/>
      <c r="GT81" s="31"/>
      <c r="GU81" s="31"/>
      <c r="GV81" s="31"/>
      <c r="GW81" s="31"/>
      <c r="GX81" s="31"/>
      <c r="GY81" s="31"/>
      <c r="GZ81" s="31"/>
      <c r="HA81" s="31"/>
      <c r="HB81" s="31"/>
      <c r="HC81" s="31"/>
      <c r="HD81" s="31"/>
      <c r="HE81" s="31"/>
      <c r="HF81" s="31"/>
      <c r="HG81" s="31"/>
      <c r="HH81" s="31"/>
      <c r="HI81" s="31"/>
      <c r="HJ81" s="31"/>
      <c r="HK81" s="31"/>
      <c r="HL81" s="31"/>
      <c r="HM81" s="31"/>
      <c r="HN81" s="31"/>
      <c r="HO81" s="31"/>
      <c r="HP81" s="31"/>
      <c r="HQ81" s="31"/>
      <c r="HR81" s="31"/>
      <c r="HS81" s="31"/>
      <c r="HT81" s="31"/>
      <c r="HU81" s="31"/>
      <c r="HV81" s="31"/>
      <c r="HW81" s="31"/>
      <c r="HX81" s="31"/>
      <c r="HY81" s="31"/>
      <c r="HZ81" s="31"/>
    </row>
    <row r="82" spans="1:234" ht="14.25" customHeight="1" x14ac:dyDescent="0.35">
      <c r="A82" s="88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30"/>
      <c r="U82" s="27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  <c r="BN82" s="31"/>
      <c r="BO82" s="31"/>
      <c r="BP82" s="31"/>
      <c r="BQ82" s="31"/>
      <c r="BR82" s="31"/>
      <c r="BS82" s="31"/>
      <c r="BT82" s="31"/>
      <c r="BU82" s="31"/>
      <c r="BV82" s="31"/>
      <c r="BW82" s="31"/>
      <c r="BX82" s="31"/>
      <c r="BY82" s="31"/>
      <c r="BZ82" s="31"/>
      <c r="CA82" s="31"/>
      <c r="CB82" s="31"/>
      <c r="CC82" s="31"/>
      <c r="CD82" s="31"/>
      <c r="CE82" s="31"/>
      <c r="CF82" s="31"/>
      <c r="CG82" s="31"/>
      <c r="CH82" s="31"/>
      <c r="CI82" s="31"/>
      <c r="CJ82" s="31"/>
      <c r="CK82" s="31"/>
      <c r="CL82" s="31"/>
      <c r="CM82" s="31"/>
      <c r="CN82" s="31"/>
      <c r="CO82" s="31"/>
      <c r="CP82" s="31"/>
      <c r="CQ82" s="31"/>
      <c r="CR82" s="31"/>
      <c r="CS82" s="31"/>
      <c r="CT82" s="31"/>
      <c r="CU82" s="31"/>
      <c r="CV82" s="31"/>
      <c r="CW82" s="31"/>
      <c r="CX82" s="31"/>
      <c r="CY82" s="31"/>
      <c r="CZ82" s="31"/>
      <c r="DA82" s="31"/>
      <c r="DB82" s="31"/>
      <c r="DC82" s="31"/>
      <c r="DD82" s="31"/>
      <c r="DE82" s="31"/>
      <c r="DF82" s="31"/>
      <c r="DG82" s="31"/>
      <c r="DH82" s="31"/>
      <c r="DI82" s="31"/>
      <c r="DJ82" s="31"/>
      <c r="DK82" s="31"/>
      <c r="DL82" s="31"/>
      <c r="DM82" s="31"/>
      <c r="DN82" s="31"/>
      <c r="DO82" s="31"/>
      <c r="DP82" s="31"/>
      <c r="DQ82" s="31"/>
      <c r="DR82" s="31"/>
      <c r="DS82" s="31"/>
      <c r="DT82" s="31"/>
      <c r="DU82" s="31"/>
      <c r="DV82" s="31"/>
      <c r="DW82" s="31"/>
      <c r="DX82" s="31"/>
      <c r="DY82" s="31"/>
      <c r="DZ82" s="31"/>
      <c r="EA82" s="31"/>
      <c r="EB82" s="31"/>
      <c r="EC82" s="31"/>
      <c r="ED82" s="31"/>
      <c r="EE82" s="31"/>
      <c r="EF82" s="31"/>
      <c r="EG82" s="31"/>
      <c r="EH82" s="31"/>
      <c r="EI82" s="31"/>
      <c r="EJ82" s="31"/>
      <c r="EK82" s="31"/>
      <c r="EL82" s="31"/>
      <c r="EM82" s="31"/>
      <c r="EN82" s="31"/>
      <c r="EO82" s="31"/>
      <c r="EP82" s="31"/>
      <c r="EQ82" s="31"/>
      <c r="ER82" s="31"/>
      <c r="ES82" s="31"/>
      <c r="ET82" s="31"/>
      <c r="EU82" s="31"/>
      <c r="EV82" s="31"/>
      <c r="EW82" s="31"/>
      <c r="EX82" s="31"/>
      <c r="EY82" s="31"/>
      <c r="EZ82" s="31"/>
      <c r="FA82" s="31"/>
      <c r="FB82" s="31"/>
      <c r="FC82" s="31"/>
      <c r="FD82" s="31"/>
      <c r="FE82" s="31"/>
      <c r="FF82" s="31"/>
      <c r="FG82" s="31"/>
      <c r="FH82" s="31"/>
      <c r="FI82" s="31"/>
      <c r="FJ82" s="31"/>
      <c r="FK82" s="31"/>
      <c r="FL82" s="31"/>
      <c r="FM82" s="31"/>
      <c r="FN82" s="31"/>
      <c r="FO82" s="31"/>
      <c r="FP82" s="31"/>
      <c r="FQ82" s="31"/>
      <c r="FR82" s="31"/>
      <c r="FS82" s="31"/>
      <c r="FT82" s="31"/>
      <c r="FU82" s="31"/>
      <c r="FV82" s="31"/>
      <c r="FW82" s="31"/>
      <c r="FX82" s="31"/>
      <c r="FY82" s="31"/>
      <c r="FZ82" s="31"/>
      <c r="GA82" s="31"/>
      <c r="GB82" s="31"/>
      <c r="GC82" s="31"/>
      <c r="GD82" s="31"/>
      <c r="GE82" s="31"/>
      <c r="GF82" s="31"/>
      <c r="GG82" s="31"/>
      <c r="GH82" s="31"/>
      <c r="GI82" s="31"/>
      <c r="GJ82" s="31"/>
      <c r="GK82" s="31"/>
      <c r="GL82" s="31"/>
      <c r="GM82" s="31"/>
      <c r="GN82" s="31"/>
      <c r="GO82" s="31"/>
      <c r="GP82" s="31"/>
      <c r="GQ82" s="31"/>
      <c r="GR82" s="31"/>
      <c r="GS82" s="31"/>
      <c r="GT82" s="31"/>
      <c r="GU82" s="31"/>
      <c r="GV82" s="31"/>
      <c r="GW82" s="31"/>
      <c r="GX82" s="31"/>
      <c r="GY82" s="31"/>
      <c r="GZ82" s="31"/>
      <c r="HA82" s="31"/>
      <c r="HB82" s="31"/>
      <c r="HC82" s="31"/>
      <c r="HD82" s="31"/>
      <c r="HE82" s="31"/>
      <c r="HF82" s="31"/>
      <c r="HG82" s="31"/>
      <c r="HH82" s="31"/>
      <c r="HI82" s="31"/>
      <c r="HJ82" s="31"/>
      <c r="HK82" s="31"/>
      <c r="HL82" s="31"/>
      <c r="HM82" s="31"/>
      <c r="HN82" s="31"/>
      <c r="HO82" s="31"/>
      <c r="HP82" s="31"/>
      <c r="HQ82" s="31"/>
      <c r="HR82" s="31"/>
      <c r="HS82" s="31"/>
      <c r="HT82" s="31"/>
      <c r="HU82" s="31"/>
      <c r="HV82" s="31"/>
      <c r="HW82" s="31"/>
      <c r="HX82" s="31"/>
      <c r="HY82" s="31"/>
      <c r="HZ82" s="31"/>
    </row>
    <row r="83" spans="1:234" ht="14.25" customHeight="1" x14ac:dyDescent="0.35">
      <c r="A83" s="88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30"/>
      <c r="U83" s="27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  <c r="BO83" s="31"/>
      <c r="BP83" s="31"/>
      <c r="BQ83" s="31"/>
      <c r="BR83" s="31"/>
      <c r="BS83" s="31"/>
      <c r="BT83" s="31"/>
      <c r="BU83" s="31"/>
      <c r="BV83" s="31"/>
      <c r="BW83" s="31"/>
      <c r="BX83" s="31"/>
      <c r="BY83" s="31"/>
      <c r="BZ83" s="31"/>
      <c r="CA83" s="31"/>
      <c r="CB83" s="31"/>
      <c r="CC83" s="31"/>
      <c r="CD83" s="31"/>
      <c r="CE83" s="31"/>
      <c r="CF83" s="31"/>
      <c r="CG83" s="31"/>
      <c r="CH83" s="31"/>
      <c r="CI83" s="31"/>
      <c r="CJ83" s="31"/>
      <c r="CK83" s="31"/>
      <c r="CL83" s="31"/>
      <c r="CM83" s="31"/>
      <c r="CN83" s="31"/>
      <c r="CO83" s="31"/>
      <c r="CP83" s="31"/>
      <c r="CQ83" s="31"/>
      <c r="CR83" s="31"/>
      <c r="CS83" s="31"/>
      <c r="CT83" s="31"/>
      <c r="CU83" s="31"/>
      <c r="CV83" s="31"/>
      <c r="CW83" s="31"/>
      <c r="CX83" s="31"/>
      <c r="CY83" s="31"/>
      <c r="CZ83" s="31"/>
      <c r="DA83" s="31"/>
      <c r="DB83" s="31"/>
      <c r="DC83" s="31"/>
      <c r="DD83" s="31"/>
      <c r="DE83" s="31"/>
      <c r="DF83" s="31"/>
      <c r="DG83" s="31"/>
      <c r="DH83" s="31"/>
      <c r="DI83" s="31"/>
      <c r="DJ83" s="31"/>
      <c r="DK83" s="31"/>
      <c r="DL83" s="31"/>
      <c r="DM83" s="31"/>
      <c r="DN83" s="31"/>
      <c r="DO83" s="31"/>
      <c r="DP83" s="31"/>
      <c r="DQ83" s="31"/>
      <c r="DR83" s="31"/>
      <c r="DS83" s="31"/>
      <c r="DT83" s="31"/>
      <c r="DU83" s="31"/>
      <c r="DV83" s="31"/>
      <c r="DW83" s="31"/>
      <c r="DX83" s="31"/>
      <c r="DY83" s="31"/>
      <c r="DZ83" s="31"/>
      <c r="EA83" s="31"/>
      <c r="EB83" s="31"/>
      <c r="EC83" s="31"/>
      <c r="ED83" s="31"/>
      <c r="EE83" s="31"/>
      <c r="EF83" s="31"/>
      <c r="EG83" s="31"/>
      <c r="EH83" s="31"/>
      <c r="EI83" s="31"/>
      <c r="EJ83" s="31"/>
      <c r="EK83" s="31"/>
      <c r="EL83" s="31"/>
      <c r="EM83" s="31"/>
      <c r="EN83" s="31"/>
      <c r="EO83" s="31"/>
      <c r="EP83" s="31"/>
      <c r="EQ83" s="31"/>
      <c r="ER83" s="31"/>
      <c r="ES83" s="31"/>
      <c r="ET83" s="31"/>
      <c r="EU83" s="31"/>
      <c r="EV83" s="31"/>
      <c r="EW83" s="31"/>
      <c r="EX83" s="31"/>
      <c r="EY83" s="31"/>
      <c r="EZ83" s="31"/>
      <c r="FA83" s="31"/>
      <c r="FB83" s="31"/>
      <c r="FC83" s="31"/>
      <c r="FD83" s="31"/>
      <c r="FE83" s="31"/>
      <c r="FF83" s="31"/>
      <c r="FG83" s="31"/>
      <c r="FH83" s="31"/>
      <c r="FI83" s="31"/>
      <c r="FJ83" s="31"/>
      <c r="FK83" s="31"/>
      <c r="FL83" s="31"/>
      <c r="FM83" s="31"/>
      <c r="FN83" s="31"/>
      <c r="FO83" s="31"/>
      <c r="FP83" s="31"/>
      <c r="FQ83" s="31"/>
      <c r="FR83" s="31"/>
      <c r="FS83" s="31"/>
      <c r="FT83" s="31"/>
      <c r="FU83" s="31"/>
      <c r="FV83" s="31"/>
      <c r="FW83" s="31"/>
      <c r="FX83" s="31"/>
      <c r="FY83" s="31"/>
      <c r="FZ83" s="31"/>
      <c r="GA83" s="31"/>
      <c r="GB83" s="31"/>
      <c r="GC83" s="31"/>
      <c r="GD83" s="31"/>
      <c r="GE83" s="31"/>
      <c r="GF83" s="31"/>
      <c r="GG83" s="31"/>
      <c r="GH83" s="31"/>
      <c r="GI83" s="31"/>
      <c r="GJ83" s="31"/>
      <c r="GK83" s="31"/>
      <c r="GL83" s="31"/>
      <c r="GM83" s="31"/>
      <c r="GN83" s="31"/>
      <c r="GO83" s="31"/>
      <c r="GP83" s="31"/>
      <c r="GQ83" s="31"/>
      <c r="GR83" s="31"/>
      <c r="GS83" s="31"/>
      <c r="GT83" s="31"/>
      <c r="GU83" s="31"/>
      <c r="GV83" s="31"/>
      <c r="GW83" s="31"/>
      <c r="GX83" s="31"/>
      <c r="GY83" s="31"/>
      <c r="GZ83" s="31"/>
      <c r="HA83" s="31"/>
      <c r="HB83" s="31"/>
      <c r="HC83" s="31"/>
      <c r="HD83" s="31"/>
      <c r="HE83" s="31"/>
      <c r="HF83" s="31"/>
      <c r="HG83" s="31"/>
      <c r="HH83" s="31"/>
      <c r="HI83" s="31"/>
      <c r="HJ83" s="31"/>
      <c r="HK83" s="31"/>
      <c r="HL83" s="31"/>
      <c r="HM83" s="31"/>
      <c r="HN83" s="31"/>
      <c r="HO83" s="31"/>
      <c r="HP83" s="31"/>
      <c r="HQ83" s="31"/>
      <c r="HR83" s="31"/>
      <c r="HS83" s="31"/>
      <c r="HT83" s="31"/>
      <c r="HU83" s="31"/>
      <c r="HV83" s="31"/>
      <c r="HW83" s="31"/>
      <c r="HX83" s="31"/>
      <c r="HY83" s="31"/>
      <c r="HZ83" s="31"/>
    </row>
    <row r="84" spans="1:234" ht="14.25" customHeight="1" x14ac:dyDescent="0.35">
      <c r="A84" s="88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30"/>
      <c r="U84" s="27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  <c r="BN84" s="31"/>
      <c r="BO84" s="31"/>
      <c r="BP84" s="31"/>
      <c r="BQ84" s="31"/>
      <c r="BR84" s="31"/>
      <c r="BS84" s="31"/>
      <c r="BT84" s="31"/>
      <c r="BU84" s="31"/>
      <c r="BV84" s="31"/>
      <c r="BW84" s="31"/>
      <c r="BX84" s="31"/>
      <c r="BY84" s="31"/>
      <c r="BZ84" s="31"/>
      <c r="CA84" s="31"/>
      <c r="CB84" s="31"/>
      <c r="CC84" s="31"/>
      <c r="CD84" s="31"/>
      <c r="CE84" s="31"/>
      <c r="CF84" s="31"/>
      <c r="CG84" s="31"/>
      <c r="CH84" s="31"/>
      <c r="CI84" s="31"/>
      <c r="CJ84" s="31"/>
      <c r="CK84" s="31"/>
      <c r="CL84" s="31"/>
      <c r="CM84" s="31"/>
      <c r="CN84" s="31"/>
      <c r="CO84" s="31"/>
      <c r="CP84" s="31"/>
      <c r="CQ84" s="31"/>
      <c r="CR84" s="31"/>
      <c r="CS84" s="31"/>
      <c r="CT84" s="31"/>
      <c r="CU84" s="31"/>
      <c r="CV84" s="31"/>
      <c r="CW84" s="31"/>
      <c r="CX84" s="31"/>
      <c r="CY84" s="31"/>
      <c r="CZ84" s="31"/>
      <c r="DA84" s="31"/>
      <c r="DB84" s="31"/>
      <c r="DC84" s="31"/>
      <c r="DD84" s="31"/>
      <c r="DE84" s="31"/>
      <c r="DF84" s="31"/>
      <c r="DG84" s="31"/>
      <c r="DH84" s="31"/>
      <c r="DI84" s="31"/>
      <c r="DJ84" s="31"/>
      <c r="DK84" s="31"/>
      <c r="DL84" s="31"/>
      <c r="DM84" s="31"/>
      <c r="DN84" s="31"/>
      <c r="DO84" s="31"/>
      <c r="DP84" s="31"/>
      <c r="DQ84" s="31"/>
      <c r="DR84" s="31"/>
      <c r="DS84" s="31"/>
      <c r="DT84" s="31"/>
      <c r="DU84" s="31"/>
      <c r="DV84" s="31"/>
      <c r="DW84" s="31"/>
      <c r="DX84" s="31"/>
      <c r="DY84" s="31"/>
      <c r="DZ84" s="31"/>
      <c r="EA84" s="31"/>
      <c r="EB84" s="31"/>
      <c r="EC84" s="31"/>
      <c r="ED84" s="31"/>
      <c r="EE84" s="31"/>
      <c r="EF84" s="31"/>
      <c r="EG84" s="31"/>
      <c r="EH84" s="31"/>
      <c r="EI84" s="31"/>
      <c r="EJ84" s="31"/>
      <c r="EK84" s="31"/>
      <c r="EL84" s="31"/>
      <c r="EM84" s="31"/>
      <c r="EN84" s="31"/>
      <c r="EO84" s="31"/>
      <c r="EP84" s="31"/>
      <c r="EQ84" s="31"/>
      <c r="ER84" s="31"/>
      <c r="ES84" s="31"/>
      <c r="ET84" s="31"/>
      <c r="EU84" s="31"/>
      <c r="EV84" s="31"/>
      <c r="EW84" s="31"/>
      <c r="EX84" s="31"/>
      <c r="EY84" s="31"/>
      <c r="EZ84" s="31"/>
      <c r="FA84" s="31"/>
      <c r="FB84" s="31"/>
      <c r="FC84" s="31"/>
      <c r="FD84" s="31"/>
      <c r="FE84" s="31"/>
      <c r="FF84" s="31"/>
      <c r="FG84" s="31"/>
      <c r="FH84" s="31"/>
      <c r="FI84" s="31"/>
      <c r="FJ84" s="31"/>
      <c r="FK84" s="31"/>
      <c r="FL84" s="31"/>
      <c r="FM84" s="31"/>
      <c r="FN84" s="31"/>
      <c r="FO84" s="31"/>
      <c r="FP84" s="31"/>
      <c r="FQ84" s="31"/>
      <c r="FR84" s="31"/>
      <c r="FS84" s="31"/>
      <c r="FT84" s="31"/>
      <c r="FU84" s="31"/>
      <c r="FV84" s="31"/>
      <c r="FW84" s="31"/>
      <c r="FX84" s="31"/>
      <c r="FY84" s="31"/>
      <c r="FZ84" s="31"/>
      <c r="GA84" s="31"/>
      <c r="GB84" s="31"/>
      <c r="GC84" s="31"/>
      <c r="GD84" s="31"/>
      <c r="GE84" s="31"/>
      <c r="GF84" s="31"/>
      <c r="GG84" s="31"/>
      <c r="GH84" s="31"/>
      <c r="GI84" s="31"/>
      <c r="GJ84" s="31"/>
      <c r="GK84" s="31"/>
      <c r="GL84" s="31"/>
      <c r="GM84" s="31"/>
      <c r="GN84" s="31"/>
      <c r="GO84" s="31"/>
      <c r="GP84" s="31"/>
      <c r="GQ84" s="31"/>
      <c r="GR84" s="31"/>
      <c r="GS84" s="31"/>
      <c r="GT84" s="31"/>
      <c r="GU84" s="31"/>
      <c r="GV84" s="31"/>
      <c r="GW84" s="31"/>
      <c r="GX84" s="31"/>
      <c r="GY84" s="31"/>
      <c r="GZ84" s="31"/>
      <c r="HA84" s="31"/>
      <c r="HB84" s="31"/>
      <c r="HC84" s="31"/>
      <c r="HD84" s="31"/>
      <c r="HE84" s="31"/>
      <c r="HF84" s="31"/>
      <c r="HG84" s="31"/>
      <c r="HH84" s="31"/>
      <c r="HI84" s="31"/>
      <c r="HJ84" s="31"/>
      <c r="HK84" s="31"/>
      <c r="HL84" s="31"/>
      <c r="HM84" s="31"/>
      <c r="HN84" s="31"/>
      <c r="HO84" s="31"/>
      <c r="HP84" s="31"/>
      <c r="HQ84" s="31"/>
      <c r="HR84" s="31"/>
      <c r="HS84" s="31"/>
      <c r="HT84" s="31"/>
      <c r="HU84" s="31"/>
      <c r="HV84" s="31"/>
      <c r="HW84" s="31"/>
      <c r="HX84" s="31"/>
      <c r="HY84" s="31"/>
      <c r="HZ84" s="31"/>
    </row>
    <row r="85" spans="1:234" ht="14.25" customHeight="1" x14ac:dyDescent="0.35">
      <c r="A85" s="88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30"/>
      <c r="U85" s="27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  <c r="BO85" s="31"/>
      <c r="BP85" s="31"/>
      <c r="BQ85" s="31"/>
      <c r="BR85" s="31"/>
      <c r="BS85" s="31"/>
      <c r="BT85" s="31"/>
      <c r="BU85" s="31"/>
      <c r="BV85" s="31"/>
      <c r="BW85" s="31"/>
      <c r="BX85" s="31"/>
      <c r="BY85" s="31"/>
      <c r="BZ85" s="31"/>
      <c r="CA85" s="31"/>
      <c r="CB85" s="31"/>
      <c r="CC85" s="31"/>
      <c r="CD85" s="31"/>
      <c r="CE85" s="31"/>
      <c r="CF85" s="31"/>
      <c r="CG85" s="31"/>
      <c r="CH85" s="31"/>
      <c r="CI85" s="31"/>
      <c r="CJ85" s="31"/>
      <c r="CK85" s="31"/>
      <c r="CL85" s="31"/>
      <c r="CM85" s="31"/>
      <c r="CN85" s="31"/>
      <c r="CO85" s="31"/>
      <c r="CP85" s="31"/>
      <c r="CQ85" s="31"/>
      <c r="CR85" s="31"/>
      <c r="CS85" s="31"/>
      <c r="CT85" s="31"/>
      <c r="CU85" s="31"/>
      <c r="CV85" s="31"/>
      <c r="CW85" s="31"/>
      <c r="CX85" s="31"/>
      <c r="CY85" s="31"/>
      <c r="CZ85" s="31"/>
      <c r="DA85" s="31"/>
      <c r="DB85" s="31"/>
      <c r="DC85" s="31"/>
      <c r="DD85" s="31"/>
      <c r="DE85" s="31"/>
      <c r="DF85" s="31"/>
      <c r="DG85" s="31"/>
      <c r="DH85" s="31"/>
      <c r="DI85" s="31"/>
      <c r="DJ85" s="31"/>
      <c r="DK85" s="31"/>
      <c r="DL85" s="31"/>
      <c r="DM85" s="31"/>
      <c r="DN85" s="31"/>
      <c r="DO85" s="31"/>
      <c r="DP85" s="31"/>
      <c r="DQ85" s="31"/>
      <c r="DR85" s="31"/>
      <c r="DS85" s="31"/>
      <c r="DT85" s="31"/>
      <c r="DU85" s="31"/>
      <c r="DV85" s="31"/>
      <c r="DW85" s="31"/>
      <c r="DX85" s="31"/>
      <c r="DY85" s="31"/>
      <c r="DZ85" s="31"/>
      <c r="EA85" s="31"/>
      <c r="EB85" s="31"/>
      <c r="EC85" s="31"/>
      <c r="ED85" s="31"/>
      <c r="EE85" s="31"/>
      <c r="EF85" s="31"/>
      <c r="EG85" s="31"/>
      <c r="EH85" s="31"/>
      <c r="EI85" s="31"/>
      <c r="EJ85" s="31"/>
      <c r="EK85" s="31"/>
      <c r="EL85" s="31"/>
      <c r="EM85" s="31"/>
      <c r="EN85" s="31"/>
      <c r="EO85" s="31"/>
      <c r="EP85" s="31"/>
      <c r="EQ85" s="31"/>
      <c r="ER85" s="31"/>
      <c r="ES85" s="31"/>
      <c r="ET85" s="31"/>
      <c r="EU85" s="31"/>
      <c r="EV85" s="31"/>
      <c r="EW85" s="31"/>
      <c r="EX85" s="31"/>
      <c r="EY85" s="31"/>
      <c r="EZ85" s="31"/>
      <c r="FA85" s="31"/>
      <c r="FB85" s="31"/>
      <c r="FC85" s="31"/>
      <c r="FD85" s="31"/>
      <c r="FE85" s="31"/>
      <c r="FF85" s="31"/>
      <c r="FG85" s="31"/>
      <c r="FH85" s="31"/>
      <c r="FI85" s="31"/>
      <c r="FJ85" s="31"/>
      <c r="FK85" s="31"/>
      <c r="FL85" s="31"/>
      <c r="FM85" s="31"/>
      <c r="FN85" s="31"/>
      <c r="FO85" s="31"/>
      <c r="FP85" s="31"/>
      <c r="FQ85" s="31"/>
      <c r="FR85" s="31"/>
      <c r="FS85" s="31"/>
      <c r="FT85" s="31"/>
      <c r="FU85" s="31"/>
      <c r="FV85" s="31"/>
      <c r="FW85" s="31"/>
      <c r="FX85" s="31"/>
      <c r="FY85" s="31"/>
      <c r="FZ85" s="31"/>
      <c r="GA85" s="31"/>
      <c r="GB85" s="31"/>
      <c r="GC85" s="31"/>
      <c r="GD85" s="31"/>
      <c r="GE85" s="31"/>
      <c r="GF85" s="31"/>
      <c r="GG85" s="31"/>
      <c r="GH85" s="31"/>
      <c r="GI85" s="31"/>
      <c r="GJ85" s="31"/>
      <c r="GK85" s="31"/>
      <c r="GL85" s="31"/>
      <c r="GM85" s="31"/>
      <c r="GN85" s="31"/>
      <c r="GO85" s="31"/>
      <c r="GP85" s="31"/>
      <c r="GQ85" s="31"/>
      <c r="GR85" s="31"/>
      <c r="GS85" s="31"/>
      <c r="GT85" s="31"/>
      <c r="GU85" s="31"/>
      <c r="GV85" s="31"/>
      <c r="GW85" s="31"/>
      <c r="GX85" s="31"/>
      <c r="GY85" s="31"/>
      <c r="GZ85" s="31"/>
      <c r="HA85" s="31"/>
      <c r="HB85" s="31"/>
      <c r="HC85" s="31"/>
      <c r="HD85" s="31"/>
      <c r="HE85" s="31"/>
      <c r="HF85" s="31"/>
      <c r="HG85" s="31"/>
      <c r="HH85" s="31"/>
      <c r="HI85" s="31"/>
      <c r="HJ85" s="31"/>
      <c r="HK85" s="31"/>
      <c r="HL85" s="31"/>
      <c r="HM85" s="31"/>
      <c r="HN85" s="31"/>
      <c r="HO85" s="31"/>
      <c r="HP85" s="31"/>
      <c r="HQ85" s="31"/>
      <c r="HR85" s="31"/>
      <c r="HS85" s="31"/>
      <c r="HT85" s="31"/>
      <c r="HU85" s="31"/>
      <c r="HV85" s="31"/>
      <c r="HW85" s="31"/>
      <c r="HX85" s="31"/>
      <c r="HY85" s="31"/>
      <c r="HZ85" s="31"/>
    </row>
    <row r="86" spans="1:234" ht="14.25" customHeight="1" x14ac:dyDescent="0.35">
      <c r="A86" s="88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30"/>
      <c r="U86" s="27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  <c r="BN86" s="31"/>
      <c r="BO86" s="31"/>
      <c r="BP86" s="31"/>
      <c r="BQ86" s="31"/>
      <c r="BR86" s="31"/>
      <c r="BS86" s="31"/>
      <c r="BT86" s="31"/>
      <c r="BU86" s="31"/>
      <c r="BV86" s="31"/>
      <c r="BW86" s="31"/>
      <c r="BX86" s="31"/>
      <c r="BY86" s="31"/>
      <c r="BZ86" s="31"/>
      <c r="CA86" s="31"/>
      <c r="CB86" s="31"/>
      <c r="CC86" s="31"/>
      <c r="CD86" s="31"/>
      <c r="CE86" s="31"/>
      <c r="CF86" s="31"/>
      <c r="CG86" s="31"/>
      <c r="CH86" s="31"/>
      <c r="CI86" s="31"/>
      <c r="CJ86" s="31"/>
      <c r="CK86" s="31"/>
      <c r="CL86" s="31"/>
      <c r="CM86" s="31"/>
      <c r="CN86" s="31"/>
      <c r="CO86" s="31"/>
      <c r="CP86" s="31"/>
      <c r="CQ86" s="31"/>
      <c r="CR86" s="31"/>
      <c r="CS86" s="31"/>
      <c r="CT86" s="31"/>
      <c r="CU86" s="31"/>
      <c r="CV86" s="31"/>
      <c r="CW86" s="31"/>
      <c r="CX86" s="31"/>
      <c r="CY86" s="31"/>
      <c r="CZ86" s="31"/>
      <c r="DA86" s="31"/>
      <c r="DB86" s="31"/>
      <c r="DC86" s="31"/>
      <c r="DD86" s="31"/>
      <c r="DE86" s="31"/>
      <c r="DF86" s="31"/>
      <c r="DG86" s="31"/>
      <c r="DH86" s="31"/>
      <c r="DI86" s="31"/>
      <c r="DJ86" s="31"/>
      <c r="DK86" s="31"/>
      <c r="DL86" s="31"/>
      <c r="DM86" s="31"/>
      <c r="DN86" s="31"/>
      <c r="DO86" s="31"/>
      <c r="DP86" s="31"/>
      <c r="DQ86" s="31"/>
      <c r="DR86" s="31"/>
      <c r="DS86" s="31"/>
      <c r="DT86" s="31"/>
      <c r="DU86" s="31"/>
      <c r="DV86" s="31"/>
      <c r="DW86" s="31"/>
      <c r="DX86" s="31"/>
      <c r="DY86" s="31"/>
      <c r="DZ86" s="31"/>
      <c r="EA86" s="31"/>
      <c r="EB86" s="31"/>
      <c r="EC86" s="31"/>
      <c r="ED86" s="31"/>
      <c r="EE86" s="31"/>
      <c r="EF86" s="31"/>
      <c r="EG86" s="31"/>
      <c r="EH86" s="31"/>
      <c r="EI86" s="31"/>
      <c r="EJ86" s="31"/>
      <c r="EK86" s="31"/>
      <c r="EL86" s="31"/>
      <c r="EM86" s="31"/>
      <c r="EN86" s="31"/>
      <c r="EO86" s="31"/>
      <c r="EP86" s="31"/>
      <c r="EQ86" s="31"/>
      <c r="ER86" s="31"/>
      <c r="ES86" s="31"/>
      <c r="ET86" s="31"/>
      <c r="EU86" s="31"/>
      <c r="EV86" s="31"/>
      <c r="EW86" s="31"/>
      <c r="EX86" s="31"/>
      <c r="EY86" s="31"/>
      <c r="EZ86" s="31"/>
      <c r="FA86" s="31"/>
      <c r="FB86" s="31"/>
      <c r="FC86" s="31"/>
      <c r="FD86" s="31"/>
      <c r="FE86" s="31"/>
      <c r="FF86" s="31"/>
      <c r="FG86" s="31"/>
      <c r="FH86" s="31"/>
      <c r="FI86" s="31"/>
      <c r="FJ86" s="31"/>
      <c r="FK86" s="31"/>
      <c r="FL86" s="31"/>
      <c r="FM86" s="31"/>
      <c r="FN86" s="31"/>
      <c r="FO86" s="31"/>
      <c r="FP86" s="31"/>
      <c r="FQ86" s="31"/>
      <c r="FR86" s="31"/>
      <c r="FS86" s="31"/>
      <c r="FT86" s="31"/>
      <c r="FU86" s="31"/>
      <c r="FV86" s="31"/>
      <c r="FW86" s="31"/>
      <c r="FX86" s="31"/>
      <c r="FY86" s="31"/>
      <c r="FZ86" s="31"/>
      <c r="GA86" s="31"/>
      <c r="GB86" s="31"/>
      <c r="GC86" s="31"/>
      <c r="GD86" s="31"/>
      <c r="GE86" s="31"/>
      <c r="GF86" s="31"/>
      <c r="GG86" s="31"/>
      <c r="GH86" s="31"/>
      <c r="GI86" s="31"/>
      <c r="GJ86" s="31"/>
      <c r="GK86" s="31"/>
      <c r="GL86" s="31"/>
      <c r="GM86" s="31"/>
      <c r="GN86" s="31"/>
      <c r="GO86" s="31"/>
      <c r="GP86" s="31"/>
      <c r="GQ86" s="31"/>
      <c r="GR86" s="31"/>
      <c r="GS86" s="31"/>
      <c r="GT86" s="31"/>
      <c r="GU86" s="31"/>
      <c r="GV86" s="31"/>
      <c r="GW86" s="31"/>
      <c r="GX86" s="31"/>
      <c r="GY86" s="31"/>
      <c r="GZ86" s="31"/>
      <c r="HA86" s="31"/>
      <c r="HB86" s="31"/>
      <c r="HC86" s="31"/>
      <c r="HD86" s="31"/>
      <c r="HE86" s="31"/>
      <c r="HF86" s="31"/>
      <c r="HG86" s="31"/>
      <c r="HH86" s="31"/>
      <c r="HI86" s="31"/>
      <c r="HJ86" s="31"/>
      <c r="HK86" s="31"/>
      <c r="HL86" s="31"/>
      <c r="HM86" s="31"/>
      <c r="HN86" s="31"/>
      <c r="HO86" s="31"/>
      <c r="HP86" s="31"/>
      <c r="HQ86" s="31"/>
      <c r="HR86" s="31"/>
      <c r="HS86" s="31"/>
      <c r="HT86" s="31"/>
      <c r="HU86" s="31"/>
      <c r="HV86" s="31"/>
      <c r="HW86" s="31"/>
      <c r="HX86" s="31"/>
      <c r="HY86" s="31"/>
      <c r="HZ86" s="31"/>
    </row>
    <row r="87" spans="1:234" ht="14.25" customHeight="1" x14ac:dyDescent="0.35">
      <c r="A87" s="88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30"/>
      <c r="U87" s="27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  <c r="BO87" s="31"/>
      <c r="BP87" s="31"/>
      <c r="BQ87" s="31"/>
      <c r="BR87" s="31"/>
      <c r="BS87" s="31"/>
      <c r="BT87" s="31"/>
      <c r="BU87" s="31"/>
      <c r="BV87" s="31"/>
      <c r="BW87" s="31"/>
      <c r="BX87" s="31"/>
      <c r="BY87" s="31"/>
      <c r="BZ87" s="31"/>
      <c r="CA87" s="31"/>
      <c r="CB87" s="31"/>
      <c r="CC87" s="31"/>
      <c r="CD87" s="31"/>
      <c r="CE87" s="31"/>
      <c r="CF87" s="31"/>
      <c r="CG87" s="31"/>
      <c r="CH87" s="31"/>
      <c r="CI87" s="31"/>
      <c r="CJ87" s="31"/>
      <c r="CK87" s="31"/>
      <c r="CL87" s="31"/>
      <c r="CM87" s="31"/>
      <c r="CN87" s="31"/>
      <c r="CO87" s="31"/>
      <c r="CP87" s="31"/>
      <c r="CQ87" s="31"/>
      <c r="CR87" s="31"/>
      <c r="CS87" s="31"/>
      <c r="CT87" s="31"/>
      <c r="CU87" s="31"/>
      <c r="CV87" s="31"/>
      <c r="CW87" s="31"/>
      <c r="CX87" s="31"/>
      <c r="CY87" s="31"/>
      <c r="CZ87" s="31"/>
      <c r="DA87" s="31"/>
      <c r="DB87" s="31"/>
      <c r="DC87" s="31"/>
      <c r="DD87" s="31"/>
      <c r="DE87" s="31"/>
      <c r="DF87" s="31"/>
      <c r="DG87" s="31"/>
      <c r="DH87" s="31"/>
      <c r="DI87" s="31"/>
      <c r="DJ87" s="31"/>
      <c r="DK87" s="31"/>
      <c r="DL87" s="31"/>
      <c r="DM87" s="31"/>
      <c r="DN87" s="31"/>
      <c r="DO87" s="31"/>
      <c r="DP87" s="31"/>
      <c r="DQ87" s="31"/>
      <c r="DR87" s="31"/>
      <c r="DS87" s="31"/>
      <c r="DT87" s="31"/>
      <c r="DU87" s="31"/>
      <c r="DV87" s="31"/>
      <c r="DW87" s="31"/>
      <c r="DX87" s="31"/>
      <c r="DY87" s="31"/>
      <c r="DZ87" s="31"/>
      <c r="EA87" s="31"/>
      <c r="EB87" s="31"/>
      <c r="EC87" s="31"/>
      <c r="ED87" s="31"/>
      <c r="EE87" s="31"/>
      <c r="EF87" s="31"/>
      <c r="EG87" s="31"/>
      <c r="EH87" s="31"/>
      <c r="EI87" s="31"/>
      <c r="EJ87" s="31"/>
      <c r="EK87" s="31"/>
      <c r="EL87" s="31"/>
      <c r="EM87" s="31"/>
      <c r="EN87" s="31"/>
      <c r="EO87" s="31"/>
      <c r="EP87" s="31"/>
      <c r="EQ87" s="31"/>
      <c r="ER87" s="31"/>
      <c r="ES87" s="31"/>
      <c r="ET87" s="31"/>
      <c r="EU87" s="31"/>
      <c r="EV87" s="31"/>
      <c r="EW87" s="31"/>
      <c r="EX87" s="31"/>
      <c r="EY87" s="31"/>
      <c r="EZ87" s="31"/>
      <c r="FA87" s="31"/>
      <c r="FB87" s="31"/>
      <c r="FC87" s="31"/>
      <c r="FD87" s="31"/>
      <c r="FE87" s="31"/>
      <c r="FF87" s="31"/>
      <c r="FG87" s="31"/>
      <c r="FH87" s="31"/>
      <c r="FI87" s="31"/>
      <c r="FJ87" s="31"/>
      <c r="FK87" s="31"/>
      <c r="FL87" s="31"/>
      <c r="FM87" s="31"/>
      <c r="FN87" s="31"/>
      <c r="FO87" s="31"/>
      <c r="FP87" s="31"/>
      <c r="FQ87" s="31"/>
      <c r="FR87" s="31"/>
      <c r="FS87" s="31"/>
      <c r="FT87" s="31"/>
      <c r="FU87" s="31"/>
      <c r="FV87" s="31"/>
      <c r="FW87" s="31"/>
      <c r="FX87" s="31"/>
      <c r="FY87" s="31"/>
      <c r="FZ87" s="31"/>
      <c r="GA87" s="31"/>
      <c r="GB87" s="31"/>
      <c r="GC87" s="31"/>
      <c r="GD87" s="31"/>
      <c r="GE87" s="31"/>
      <c r="GF87" s="31"/>
      <c r="GG87" s="31"/>
      <c r="GH87" s="31"/>
      <c r="GI87" s="31"/>
      <c r="GJ87" s="31"/>
      <c r="GK87" s="31"/>
      <c r="GL87" s="31"/>
      <c r="GM87" s="31"/>
      <c r="GN87" s="31"/>
      <c r="GO87" s="31"/>
      <c r="GP87" s="31"/>
      <c r="GQ87" s="31"/>
      <c r="GR87" s="31"/>
      <c r="GS87" s="31"/>
      <c r="GT87" s="31"/>
      <c r="GU87" s="31"/>
      <c r="GV87" s="31"/>
      <c r="GW87" s="31"/>
      <c r="GX87" s="31"/>
      <c r="GY87" s="31"/>
      <c r="GZ87" s="31"/>
      <c r="HA87" s="31"/>
      <c r="HB87" s="31"/>
      <c r="HC87" s="31"/>
      <c r="HD87" s="31"/>
      <c r="HE87" s="31"/>
      <c r="HF87" s="31"/>
      <c r="HG87" s="31"/>
      <c r="HH87" s="31"/>
      <c r="HI87" s="31"/>
      <c r="HJ87" s="31"/>
      <c r="HK87" s="31"/>
      <c r="HL87" s="31"/>
      <c r="HM87" s="31"/>
      <c r="HN87" s="31"/>
      <c r="HO87" s="31"/>
      <c r="HP87" s="31"/>
      <c r="HQ87" s="31"/>
      <c r="HR87" s="31"/>
      <c r="HS87" s="31"/>
      <c r="HT87" s="31"/>
      <c r="HU87" s="31"/>
      <c r="HV87" s="31"/>
      <c r="HW87" s="31"/>
      <c r="HX87" s="31"/>
      <c r="HY87" s="31"/>
      <c r="HZ87" s="31"/>
    </row>
    <row r="88" spans="1:234" ht="14.25" customHeight="1" x14ac:dyDescent="0.35">
      <c r="A88" s="88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30"/>
      <c r="U88" s="27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1"/>
      <c r="BN88" s="31"/>
      <c r="BO88" s="31"/>
      <c r="BP88" s="31"/>
      <c r="BQ88" s="31"/>
      <c r="BR88" s="31"/>
      <c r="BS88" s="31"/>
      <c r="BT88" s="31"/>
      <c r="BU88" s="31"/>
      <c r="BV88" s="31"/>
      <c r="BW88" s="31"/>
      <c r="BX88" s="31"/>
      <c r="BY88" s="31"/>
      <c r="BZ88" s="31"/>
      <c r="CA88" s="31"/>
      <c r="CB88" s="31"/>
      <c r="CC88" s="31"/>
      <c r="CD88" s="31"/>
      <c r="CE88" s="31"/>
      <c r="CF88" s="31"/>
      <c r="CG88" s="31"/>
      <c r="CH88" s="31"/>
      <c r="CI88" s="31"/>
      <c r="CJ88" s="31"/>
      <c r="CK88" s="31"/>
      <c r="CL88" s="31"/>
      <c r="CM88" s="31"/>
      <c r="CN88" s="31"/>
      <c r="CO88" s="31"/>
      <c r="CP88" s="31"/>
      <c r="CQ88" s="31"/>
      <c r="CR88" s="31"/>
      <c r="CS88" s="31"/>
      <c r="CT88" s="31"/>
      <c r="CU88" s="31"/>
      <c r="CV88" s="31"/>
      <c r="CW88" s="31"/>
      <c r="CX88" s="31"/>
      <c r="CY88" s="31"/>
      <c r="CZ88" s="31"/>
      <c r="DA88" s="31"/>
      <c r="DB88" s="31"/>
      <c r="DC88" s="31"/>
      <c r="DD88" s="31"/>
      <c r="DE88" s="31"/>
      <c r="DF88" s="31"/>
      <c r="DG88" s="31"/>
      <c r="DH88" s="31"/>
      <c r="DI88" s="31"/>
      <c r="DJ88" s="31"/>
      <c r="DK88" s="31"/>
      <c r="DL88" s="31"/>
      <c r="DM88" s="31"/>
      <c r="DN88" s="31"/>
      <c r="DO88" s="31"/>
      <c r="DP88" s="31"/>
      <c r="DQ88" s="31"/>
      <c r="DR88" s="31"/>
      <c r="DS88" s="31"/>
      <c r="DT88" s="31"/>
      <c r="DU88" s="31"/>
      <c r="DV88" s="31"/>
      <c r="DW88" s="31"/>
      <c r="DX88" s="31"/>
      <c r="DY88" s="31"/>
      <c r="DZ88" s="31"/>
      <c r="EA88" s="31"/>
      <c r="EB88" s="31"/>
      <c r="EC88" s="31"/>
      <c r="ED88" s="31"/>
      <c r="EE88" s="31"/>
      <c r="EF88" s="31"/>
      <c r="EG88" s="31"/>
      <c r="EH88" s="31"/>
      <c r="EI88" s="31"/>
      <c r="EJ88" s="31"/>
      <c r="EK88" s="31"/>
      <c r="EL88" s="31"/>
      <c r="EM88" s="31"/>
      <c r="EN88" s="31"/>
      <c r="EO88" s="31"/>
      <c r="EP88" s="31"/>
      <c r="EQ88" s="31"/>
      <c r="ER88" s="31"/>
      <c r="ES88" s="31"/>
      <c r="ET88" s="31"/>
      <c r="EU88" s="31"/>
      <c r="EV88" s="31"/>
      <c r="EW88" s="31"/>
      <c r="EX88" s="31"/>
      <c r="EY88" s="31"/>
      <c r="EZ88" s="31"/>
      <c r="FA88" s="31"/>
      <c r="FB88" s="31"/>
      <c r="FC88" s="31"/>
      <c r="FD88" s="31"/>
      <c r="FE88" s="31"/>
      <c r="FF88" s="31"/>
      <c r="FG88" s="31"/>
      <c r="FH88" s="31"/>
      <c r="FI88" s="31"/>
      <c r="FJ88" s="31"/>
      <c r="FK88" s="31"/>
      <c r="FL88" s="31"/>
      <c r="FM88" s="31"/>
      <c r="FN88" s="31"/>
      <c r="FO88" s="31"/>
      <c r="FP88" s="31"/>
      <c r="FQ88" s="31"/>
      <c r="FR88" s="31"/>
      <c r="FS88" s="31"/>
      <c r="FT88" s="31"/>
      <c r="FU88" s="31"/>
      <c r="FV88" s="31"/>
      <c r="FW88" s="31"/>
      <c r="FX88" s="31"/>
      <c r="FY88" s="31"/>
      <c r="FZ88" s="31"/>
      <c r="GA88" s="31"/>
      <c r="GB88" s="31"/>
      <c r="GC88" s="31"/>
      <c r="GD88" s="31"/>
      <c r="GE88" s="31"/>
      <c r="GF88" s="31"/>
      <c r="GG88" s="31"/>
      <c r="GH88" s="31"/>
      <c r="GI88" s="31"/>
      <c r="GJ88" s="31"/>
      <c r="GK88" s="31"/>
      <c r="GL88" s="31"/>
      <c r="GM88" s="31"/>
      <c r="GN88" s="31"/>
      <c r="GO88" s="31"/>
      <c r="GP88" s="31"/>
      <c r="GQ88" s="31"/>
      <c r="GR88" s="31"/>
      <c r="GS88" s="31"/>
      <c r="GT88" s="31"/>
      <c r="GU88" s="31"/>
      <c r="GV88" s="31"/>
      <c r="GW88" s="31"/>
      <c r="GX88" s="31"/>
      <c r="GY88" s="31"/>
      <c r="GZ88" s="31"/>
      <c r="HA88" s="31"/>
      <c r="HB88" s="31"/>
      <c r="HC88" s="31"/>
      <c r="HD88" s="31"/>
      <c r="HE88" s="31"/>
      <c r="HF88" s="31"/>
      <c r="HG88" s="31"/>
      <c r="HH88" s="31"/>
      <c r="HI88" s="31"/>
      <c r="HJ88" s="31"/>
      <c r="HK88" s="31"/>
      <c r="HL88" s="31"/>
      <c r="HM88" s="31"/>
      <c r="HN88" s="31"/>
      <c r="HO88" s="31"/>
      <c r="HP88" s="31"/>
      <c r="HQ88" s="31"/>
      <c r="HR88" s="31"/>
      <c r="HS88" s="31"/>
      <c r="HT88" s="31"/>
      <c r="HU88" s="31"/>
      <c r="HV88" s="31"/>
      <c r="HW88" s="31"/>
      <c r="HX88" s="31"/>
      <c r="HY88" s="31"/>
      <c r="HZ88" s="31"/>
    </row>
    <row r="89" spans="1:234" ht="14.25" customHeight="1" x14ac:dyDescent="0.35">
      <c r="A89" s="88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30"/>
      <c r="U89" s="27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1"/>
      <c r="BN89" s="31"/>
      <c r="BO89" s="31"/>
      <c r="BP89" s="31"/>
      <c r="BQ89" s="31"/>
      <c r="BR89" s="31"/>
      <c r="BS89" s="31"/>
      <c r="BT89" s="31"/>
      <c r="BU89" s="31"/>
      <c r="BV89" s="31"/>
      <c r="BW89" s="31"/>
      <c r="BX89" s="31"/>
      <c r="BY89" s="31"/>
      <c r="BZ89" s="31"/>
      <c r="CA89" s="31"/>
      <c r="CB89" s="31"/>
      <c r="CC89" s="31"/>
      <c r="CD89" s="31"/>
      <c r="CE89" s="31"/>
      <c r="CF89" s="31"/>
      <c r="CG89" s="31"/>
      <c r="CH89" s="31"/>
      <c r="CI89" s="31"/>
      <c r="CJ89" s="31"/>
      <c r="CK89" s="31"/>
      <c r="CL89" s="31"/>
      <c r="CM89" s="31"/>
      <c r="CN89" s="31"/>
      <c r="CO89" s="31"/>
      <c r="CP89" s="31"/>
      <c r="CQ89" s="31"/>
      <c r="CR89" s="31"/>
      <c r="CS89" s="31"/>
      <c r="CT89" s="31"/>
      <c r="CU89" s="31"/>
      <c r="CV89" s="31"/>
      <c r="CW89" s="31"/>
      <c r="CX89" s="31"/>
      <c r="CY89" s="31"/>
      <c r="CZ89" s="31"/>
      <c r="DA89" s="31"/>
      <c r="DB89" s="31"/>
      <c r="DC89" s="31"/>
      <c r="DD89" s="31"/>
      <c r="DE89" s="31"/>
      <c r="DF89" s="31"/>
      <c r="DG89" s="31"/>
      <c r="DH89" s="31"/>
      <c r="DI89" s="31"/>
      <c r="DJ89" s="31"/>
      <c r="DK89" s="31"/>
      <c r="DL89" s="31"/>
      <c r="DM89" s="31"/>
      <c r="DN89" s="31"/>
      <c r="DO89" s="31"/>
      <c r="DP89" s="31"/>
      <c r="DQ89" s="31"/>
      <c r="DR89" s="31"/>
      <c r="DS89" s="31"/>
      <c r="DT89" s="31"/>
      <c r="DU89" s="31"/>
      <c r="DV89" s="31"/>
      <c r="DW89" s="31"/>
      <c r="DX89" s="31"/>
      <c r="DY89" s="31"/>
      <c r="DZ89" s="31"/>
      <c r="EA89" s="31"/>
      <c r="EB89" s="31"/>
      <c r="EC89" s="31"/>
      <c r="ED89" s="31"/>
      <c r="EE89" s="31"/>
      <c r="EF89" s="31"/>
      <c r="EG89" s="31"/>
      <c r="EH89" s="31"/>
      <c r="EI89" s="31"/>
      <c r="EJ89" s="31"/>
      <c r="EK89" s="31"/>
      <c r="EL89" s="31"/>
      <c r="EM89" s="31"/>
      <c r="EN89" s="31"/>
      <c r="EO89" s="31"/>
      <c r="EP89" s="31"/>
      <c r="EQ89" s="31"/>
      <c r="ER89" s="31"/>
      <c r="ES89" s="31"/>
      <c r="ET89" s="31"/>
      <c r="EU89" s="31"/>
      <c r="EV89" s="31"/>
      <c r="EW89" s="31"/>
      <c r="EX89" s="31"/>
      <c r="EY89" s="31"/>
      <c r="EZ89" s="31"/>
      <c r="FA89" s="31"/>
      <c r="FB89" s="31"/>
      <c r="FC89" s="31"/>
      <c r="FD89" s="31"/>
      <c r="FE89" s="31"/>
      <c r="FF89" s="31"/>
      <c r="FG89" s="31"/>
      <c r="FH89" s="31"/>
      <c r="FI89" s="31"/>
      <c r="FJ89" s="31"/>
      <c r="FK89" s="31"/>
      <c r="FL89" s="31"/>
      <c r="FM89" s="31"/>
      <c r="FN89" s="31"/>
      <c r="FO89" s="31"/>
      <c r="FP89" s="31"/>
      <c r="FQ89" s="31"/>
      <c r="FR89" s="31"/>
      <c r="FS89" s="31"/>
      <c r="FT89" s="31"/>
      <c r="FU89" s="31"/>
      <c r="FV89" s="31"/>
      <c r="FW89" s="31"/>
      <c r="FX89" s="31"/>
      <c r="FY89" s="31"/>
      <c r="FZ89" s="31"/>
      <c r="GA89" s="31"/>
      <c r="GB89" s="31"/>
      <c r="GC89" s="31"/>
      <c r="GD89" s="31"/>
      <c r="GE89" s="31"/>
      <c r="GF89" s="31"/>
      <c r="GG89" s="31"/>
      <c r="GH89" s="31"/>
      <c r="GI89" s="31"/>
      <c r="GJ89" s="31"/>
      <c r="GK89" s="31"/>
      <c r="GL89" s="31"/>
      <c r="GM89" s="31"/>
      <c r="GN89" s="31"/>
      <c r="GO89" s="31"/>
      <c r="GP89" s="31"/>
      <c r="GQ89" s="31"/>
      <c r="GR89" s="31"/>
      <c r="GS89" s="31"/>
      <c r="GT89" s="31"/>
      <c r="GU89" s="31"/>
      <c r="GV89" s="31"/>
      <c r="GW89" s="31"/>
      <c r="GX89" s="31"/>
      <c r="GY89" s="31"/>
      <c r="GZ89" s="31"/>
      <c r="HA89" s="31"/>
      <c r="HB89" s="31"/>
      <c r="HC89" s="31"/>
      <c r="HD89" s="31"/>
      <c r="HE89" s="31"/>
      <c r="HF89" s="31"/>
      <c r="HG89" s="31"/>
      <c r="HH89" s="31"/>
      <c r="HI89" s="31"/>
      <c r="HJ89" s="31"/>
      <c r="HK89" s="31"/>
      <c r="HL89" s="31"/>
      <c r="HM89" s="31"/>
      <c r="HN89" s="31"/>
      <c r="HO89" s="31"/>
      <c r="HP89" s="31"/>
      <c r="HQ89" s="31"/>
      <c r="HR89" s="31"/>
      <c r="HS89" s="31"/>
      <c r="HT89" s="31"/>
      <c r="HU89" s="31"/>
      <c r="HV89" s="31"/>
      <c r="HW89" s="31"/>
      <c r="HX89" s="31"/>
      <c r="HY89" s="31"/>
      <c r="HZ89" s="31"/>
    </row>
    <row r="90" spans="1:234" ht="14.25" customHeight="1" x14ac:dyDescent="0.35">
      <c r="A90" s="88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30"/>
      <c r="U90" s="27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  <c r="BO90" s="31"/>
      <c r="BP90" s="31"/>
      <c r="BQ90" s="31"/>
      <c r="BR90" s="31"/>
      <c r="BS90" s="31"/>
      <c r="BT90" s="31"/>
      <c r="BU90" s="31"/>
      <c r="BV90" s="31"/>
      <c r="BW90" s="31"/>
      <c r="BX90" s="31"/>
      <c r="BY90" s="31"/>
      <c r="BZ90" s="31"/>
      <c r="CA90" s="31"/>
      <c r="CB90" s="31"/>
      <c r="CC90" s="31"/>
      <c r="CD90" s="31"/>
      <c r="CE90" s="31"/>
      <c r="CF90" s="31"/>
      <c r="CG90" s="31"/>
      <c r="CH90" s="31"/>
      <c r="CI90" s="31"/>
      <c r="CJ90" s="31"/>
      <c r="CK90" s="31"/>
      <c r="CL90" s="31"/>
      <c r="CM90" s="31"/>
      <c r="CN90" s="31"/>
      <c r="CO90" s="31"/>
      <c r="CP90" s="31"/>
      <c r="CQ90" s="31"/>
      <c r="CR90" s="31"/>
      <c r="CS90" s="31"/>
      <c r="CT90" s="31"/>
      <c r="CU90" s="31"/>
      <c r="CV90" s="31"/>
      <c r="CW90" s="31"/>
      <c r="CX90" s="31"/>
      <c r="CY90" s="31"/>
      <c r="CZ90" s="31"/>
      <c r="DA90" s="31"/>
      <c r="DB90" s="31"/>
      <c r="DC90" s="31"/>
      <c r="DD90" s="31"/>
      <c r="DE90" s="31"/>
      <c r="DF90" s="31"/>
      <c r="DG90" s="31"/>
      <c r="DH90" s="31"/>
      <c r="DI90" s="31"/>
      <c r="DJ90" s="31"/>
      <c r="DK90" s="31"/>
      <c r="DL90" s="31"/>
      <c r="DM90" s="31"/>
      <c r="DN90" s="31"/>
      <c r="DO90" s="31"/>
      <c r="DP90" s="31"/>
      <c r="DQ90" s="31"/>
      <c r="DR90" s="31"/>
      <c r="DS90" s="31"/>
      <c r="DT90" s="31"/>
      <c r="DU90" s="31"/>
      <c r="DV90" s="31"/>
      <c r="DW90" s="31"/>
      <c r="DX90" s="31"/>
      <c r="DY90" s="31"/>
      <c r="DZ90" s="31"/>
      <c r="EA90" s="31"/>
      <c r="EB90" s="31"/>
      <c r="EC90" s="31"/>
      <c r="ED90" s="31"/>
      <c r="EE90" s="31"/>
      <c r="EF90" s="31"/>
      <c r="EG90" s="31"/>
      <c r="EH90" s="31"/>
      <c r="EI90" s="31"/>
      <c r="EJ90" s="31"/>
      <c r="EK90" s="31"/>
      <c r="EL90" s="31"/>
      <c r="EM90" s="31"/>
      <c r="EN90" s="31"/>
      <c r="EO90" s="31"/>
      <c r="EP90" s="31"/>
      <c r="EQ90" s="31"/>
      <c r="ER90" s="31"/>
      <c r="ES90" s="31"/>
      <c r="ET90" s="31"/>
      <c r="EU90" s="31"/>
      <c r="EV90" s="31"/>
      <c r="EW90" s="31"/>
      <c r="EX90" s="31"/>
      <c r="EY90" s="31"/>
      <c r="EZ90" s="31"/>
      <c r="FA90" s="31"/>
      <c r="FB90" s="31"/>
      <c r="FC90" s="31"/>
      <c r="FD90" s="31"/>
      <c r="FE90" s="31"/>
      <c r="FF90" s="31"/>
      <c r="FG90" s="31"/>
      <c r="FH90" s="31"/>
      <c r="FI90" s="31"/>
      <c r="FJ90" s="31"/>
      <c r="FK90" s="31"/>
      <c r="FL90" s="31"/>
      <c r="FM90" s="31"/>
      <c r="FN90" s="31"/>
      <c r="FO90" s="31"/>
      <c r="FP90" s="31"/>
      <c r="FQ90" s="31"/>
      <c r="FR90" s="31"/>
      <c r="FS90" s="31"/>
      <c r="FT90" s="31"/>
      <c r="FU90" s="31"/>
      <c r="FV90" s="31"/>
      <c r="FW90" s="31"/>
      <c r="FX90" s="31"/>
      <c r="FY90" s="31"/>
      <c r="FZ90" s="31"/>
      <c r="GA90" s="31"/>
      <c r="GB90" s="31"/>
      <c r="GC90" s="31"/>
      <c r="GD90" s="31"/>
      <c r="GE90" s="31"/>
      <c r="GF90" s="31"/>
      <c r="GG90" s="31"/>
      <c r="GH90" s="31"/>
      <c r="GI90" s="31"/>
      <c r="GJ90" s="31"/>
      <c r="GK90" s="31"/>
      <c r="GL90" s="31"/>
      <c r="GM90" s="31"/>
      <c r="GN90" s="31"/>
      <c r="GO90" s="31"/>
      <c r="GP90" s="31"/>
      <c r="GQ90" s="31"/>
      <c r="GR90" s="31"/>
      <c r="GS90" s="31"/>
      <c r="GT90" s="31"/>
      <c r="GU90" s="31"/>
      <c r="GV90" s="31"/>
      <c r="GW90" s="31"/>
      <c r="GX90" s="31"/>
      <c r="GY90" s="31"/>
      <c r="GZ90" s="31"/>
      <c r="HA90" s="31"/>
      <c r="HB90" s="31"/>
      <c r="HC90" s="31"/>
      <c r="HD90" s="31"/>
      <c r="HE90" s="31"/>
      <c r="HF90" s="31"/>
      <c r="HG90" s="31"/>
      <c r="HH90" s="31"/>
      <c r="HI90" s="31"/>
      <c r="HJ90" s="31"/>
      <c r="HK90" s="31"/>
      <c r="HL90" s="31"/>
      <c r="HM90" s="31"/>
      <c r="HN90" s="31"/>
      <c r="HO90" s="31"/>
      <c r="HP90" s="31"/>
      <c r="HQ90" s="31"/>
      <c r="HR90" s="31"/>
      <c r="HS90" s="31"/>
      <c r="HT90" s="31"/>
      <c r="HU90" s="31"/>
      <c r="HV90" s="31"/>
      <c r="HW90" s="31"/>
      <c r="HX90" s="31"/>
      <c r="HY90" s="31"/>
      <c r="HZ90" s="31"/>
    </row>
    <row r="91" spans="1:234" ht="14.25" customHeight="1" x14ac:dyDescent="0.35">
      <c r="A91" s="88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30"/>
      <c r="U91" s="27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  <c r="BO91" s="31"/>
      <c r="BP91" s="31"/>
      <c r="BQ91" s="31"/>
      <c r="BR91" s="31"/>
      <c r="BS91" s="31"/>
      <c r="BT91" s="31"/>
      <c r="BU91" s="31"/>
      <c r="BV91" s="31"/>
      <c r="BW91" s="31"/>
      <c r="BX91" s="31"/>
      <c r="BY91" s="31"/>
      <c r="BZ91" s="31"/>
      <c r="CA91" s="31"/>
      <c r="CB91" s="31"/>
      <c r="CC91" s="31"/>
      <c r="CD91" s="31"/>
      <c r="CE91" s="31"/>
      <c r="CF91" s="31"/>
      <c r="CG91" s="31"/>
      <c r="CH91" s="31"/>
      <c r="CI91" s="31"/>
      <c r="CJ91" s="31"/>
      <c r="CK91" s="31"/>
      <c r="CL91" s="31"/>
      <c r="CM91" s="31"/>
      <c r="CN91" s="31"/>
      <c r="CO91" s="31"/>
      <c r="CP91" s="31"/>
      <c r="CQ91" s="31"/>
      <c r="CR91" s="31"/>
      <c r="CS91" s="31"/>
      <c r="CT91" s="31"/>
      <c r="CU91" s="31"/>
      <c r="CV91" s="31"/>
      <c r="CW91" s="31"/>
      <c r="CX91" s="31"/>
      <c r="CY91" s="31"/>
      <c r="CZ91" s="31"/>
      <c r="DA91" s="31"/>
      <c r="DB91" s="31"/>
      <c r="DC91" s="31"/>
      <c r="DD91" s="31"/>
      <c r="DE91" s="31"/>
      <c r="DF91" s="31"/>
      <c r="DG91" s="31"/>
      <c r="DH91" s="31"/>
      <c r="DI91" s="31"/>
      <c r="DJ91" s="31"/>
      <c r="DK91" s="31"/>
      <c r="DL91" s="31"/>
      <c r="DM91" s="31"/>
      <c r="DN91" s="31"/>
      <c r="DO91" s="31"/>
      <c r="DP91" s="31"/>
      <c r="DQ91" s="31"/>
      <c r="DR91" s="31"/>
      <c r="DS91" s="31"/>
      <c r="DT91" s="31"/>
      <c r="DU91" s="31"/>
      <c r="DV91" s="31"/>
      <c r="DW91" s="31"/>
      <c r="DX91" s="31"/>
      <c r="DY91" s="31"/>
      <c r="DZ91" s="31"/>
      <c r="EA91" s="31"/>
      <c r="EB91" s="31"/>
      <c r="EC91" s="31"/>
      <c r="ED91" s="31"/>
      <c r="EE91" s="31"/>
      <c r="EF91" s="31"/>
      <c r="EG91" s="31"/>
      <c r="EH91" s="31"/>
      <c r="EI91" s="31"/>
      <c r="EJ91" s="31"/>
      <c r="EK91" s="31"/>
      <c r="EL91" s="31"/>
      <c r="EM91" s="31"/>
      <c r="EN91" s="31"/>
      <c r="EO91" s="31"/>
      <c r="EP91" s="31"/>
      <c r="EQ91" s="31"/>
      <c r="ER91" s="31"/>
      <c r="ES91" s="31"/>
      <c r="ET91" s="31"/>
      <c r="EU91" s="31"/>
      <c r="EV91" s="31"/>
      <c r="EW91" s="31"/>
      <c r="EX91" s="31"/>
      <c r="EY91" s="31"/>
      <c r="EZ91" s="31"/>
      <c r="FA91" s="31"/>
      <c r="FB91" s="31"/>
      <c r="FC91" s="31"/>
      <c r="FD91" s="31"/>
      <c r="FE91" s="31"/>
      <c r="FF91" s="31"/>
      <c r="FG91" s="31"/>
      <c r="FH91" s="31"/>
      <c r="FI91" s="31"/>
      <c r="FJ91" s="31"/>
      <c r="FK91" s="31"/>
      <c r="FL91" s="31"/>
      <c r="FM91" s="31"/>
      <c r="FN91" s="31"/>
      <c r="FO91" s="31"/>
      <c r="FP91" s="31"/>
      <c r="FQ91" s="31"/>
      <c r="FR91" s="31"/>
      <c r="FS91" s="31"/>
      <c r="FT91" s="31"/>
      <c r="FU91" s="31"/>
      <c r="FV91" s="31"/>
      <c r="FW91" s="31"/>
      <c r="FX91" s="31"/>
      <c r="FY91" s="31"/>
      <c r="FZ91" s="31"/>
      <c r="GA91" s="31"/>
      <c r="GB91" s="31"/>
      <c r="GC91" s="31"/>
      <c r="GD91" s="31"/>
      <c r="GE91" s="31"/>
      <c r="GF91" s="31"/>
      <c r="GG91" s="31"/>
      <c r="GH91" s="31"/>
      <c r="GI91" s="31"/>
      <c r="GJ91" s="31"/>
      <c r="GK91" s="31"/>
      <c r="GL91" s="31"/>
      <c r="GM91" s="31"/>
      <c r="GN91" s="31"/>
      <c r="GO91" s="31"/>
      <c r="GP91" s="31"/>
      <c r="GQ91" s="31"/>
      <c r="GR91" s="31"/>
      <c r="GS91" s="31"/>
      <c r="GT91" s="31"/>
      <c r="GU91" s="31"/>
      <c r="GV91" s="31"/>
      <c r="GW91" s="31"/>
      <c r="GX91" s="31"/>
      <c r="GY91" s="31"/>
      <c r="GZ91" s="31"/>
      <c r="HA91" s="31"/>
      <c r="HB91" s="31"/>
      <c r="HC91" s="31"/>
      <c r="HD91" s="31"/>
      <c r="HE91" s="31"/>
      <c r="HF91" s="31"/>
      <c r="HG91" s="31"/>
      <c r="HH91" s="31"/>
      <c r="HI91" s="31"/>
      <c r="HJ91" s="31"/>
      <c r="HK91" s="31"/>
      <c r="HL91" s="31"/>
      <c r="HM91" s="31"/>
      <c r="HN91" s="31"/>
      <c r="HO91" s="31"/>
      <c r="HP91" s="31"/>
      <c r="HQ91" s="31"/>
      <c r="HR91" s="31"/>
      <c r="HS91" s="31"/>
      <c r="HT91" s="31"/>
      <c r="HU91" s="31"/>
      <c r="HV91" s="31"/>
      <c r="HW91" s="31"/>
      <c r="HX91" s="31"/>
      <c r="HY91" s="31"/>
      <c r="HZ91" s="31"/>
    </row>
    <row r="92" spans="1:234" ht="14.25" customHeight="1" x14ac:dyDescent="0.35">
      <c r="A92" s="88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30"/>
      <c r="U92" s="27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31"/>
      <c r="BI92" s="31"/>
      <c r="BJ92" s="31"/>
      <c r="BK92" s="31"/>
      <c r="BL92" s="31"/>
      <c r="BM92" s="31"/>
      <c r="BN92" s="31"/>
      <c r="BO92" s="31"/>
      <c r="BP92" s="31"/>
      <c r="BQ92" s="31"/>
      <c r="BR92" s="31"/>
      <c r="BS92" s="31"/>
      <c r="BT92" s="31"/>
      <c r="BU92" s="31"/>
      <c r="BV92" s="31"/>
      <c r="BW92" s="31"/>
      <c r="BX92" s="31"/>
      <c r="BY92" s="31"/>
      <c r="BZ92" s="31"/>
      <c r="CA92" s="31"/>
      <c r="CB92" s="31"/>
      <c r="CC92" s="31"/>
      <c r="CD92" s="31"/>
      <c r="CE92" s="31"/>
      <c r="CF92" s="31"/>
      <c r="CG92" s="31"/>
      <c r="CH92" s="31"/>
      <c r="CI92" s="31"/>
      <c r="CJ92" s="31"/>
      <c r="CK92" s="31"/>
      <c r="CL92" s="31"/>
      <c r="CM92" s="31"/>
      <c r="CN92" s="31"/>
      <c r="CO92" s="31"/>
      <c r="CP92" s="31"/>
      <c r="CQ92" s="31"/>
      <c r="CR92" s="31"/>
      <c r="CS92" s="31"/>
      <c r="CT92" s="31"/>
      <c r="CU92" s="31"/>
      <c r="CV92" s="31"/>
      <c r="CW92" s="31"/>
      <c r="CX92" s="31"/>
      <c r="CY92" s="31"/>
      <c r="CZ92" s="31"/>
      <c r="DA92" s="31"/>
      <c r="DB92" s="31"/>
      <c r="DC92" s="31"/>
      <c r="DD92" s="31"/>
      <c r="DE92" s="31"/>
      <c r="DF92" s="31"/>
      <c r="DG92" s="31"/>
      <c r="DH92" s="31"/>
      <c r="DI92" s="31"/>
      <c r="DJ92" s="31"/>
      <c r="DK92" s="31"/>
      <c r="DL92" s="31"/>
      <c r="DM92" s="31"/>
      <c r="DN92" s="31"/>
      <c r="DO92" s="31"/>
      <c r="DP92" s="31"/>
      <c r="DQ92" s="31"/>
      <c r="DR92" s="31"/>
      <c r="DS92" s="31"/>
      <c r="DT92" s="31"/>
      <c r="DU92" s="31"/>
      <c r="DV92" s="31"/>
      <c r="DW92" s="31"/>
      <c r="DX92" s="31"/>
      <c r="DY92" s="31"/>
      <c r="DZ92" s="31"/>
      <c r="EA92" s="31"/>
      <c r="EB92" s="31"/>
      <c r="EC92" s="31"/>
      <c r="ED92" s="31"/>
      <c r="EE92" s="31"/>
      <c r="EF92" s="31"/>
      <c r="EG92" s="31"/>
      <c r="EH92" s="31"/>
      <c r="EI92" s="31"/>
      <c r="EJ92" s="31"/>
      <c r="EK92" s="31"/>
      <c r="EL92" s="31"/>
      <c r="EM92" s="31"/>
      <c r="EN92" s="31"/>
      <c r="EO92" s="31"/>
      <c r="EP92" s="31"/>
      <c r="EQ92" s="31"/>
      <c r="ER92" s="31"/>
      <c r="ES92" s="31"/>
      <c r="ET92" s="31"/>
      <c r="EU92" s="31"/>
      <c r="EV92" s="31"/>
      <c r="EW92" s="31"/>
      <c r="EX92" s="31"/>
      <c r="EY92" s="31"/>
      <c r="EZ92" s="31"/>
      <c r="FA92" s="31"/>
      <c r="FB92" s="31"/>
      <c r="FC92" s="31"/>
      <c r="FD92" s="31"/>
      <c r="FE92" s="31"/>
      <c r="FF92" s="31"/>
      <c r="FG92" s="31"/>
      <c r="FH92" s="31"/>
      <c r="FI92" s="31"/>
      <c r="FJ92" s="31"/>
      <c r="FK92" s="31"/>
      <c r="FL92" s="31"/>
      <c r="FM92" s="31"/>
      <c r="FN92" s="31"/>
      <c r="FO92" s="31"/>
      <c r="FP92" s="31"/>
      <c r="FQ92" s="31"/>
      <c r="FR92" s="31"/>
      <c r="FS92" s="31"/>
      <c r="FT92" s="31"/>
      <c r="FU92" s="31"/>
      <c r="FV92" s="31"/>
      <c r="FW92" s="31"/>
      <c r="FX92" s="31"/>
      <c r="FY92" s="31"/>
      <c r="FZ92" s="31"/>
      <c r="GA92" s="31"/>
      <c r="GB92" s="31"/>
      <c r="GC92" s="31"/>
      <c r="GD92" s="31"/>
      <c r="GE92" s="31"/>
      <c r="GF92" s="31"/>
      <c r="GG92" s="31"/>
      <c r="GH92" s="31"/>
      <c r="GI92" s="31"/>
      <c r="GJ92" s="31"/>
      <c r="GK92" s="31"/>
      <c r="GL92" s="31"/>
      <c r="GM92" s="31"/>
      <c r="GN92" s="31"/>
      <c r="GO92" s="31"/>
      <c r="GP92" s="31"/>
      <c r="GQ92" s="31"/>
      <c r="GR92" s="31"/>
      <c r="GS92" s="31"/>
      <c r="GT92" s="31"/>
      <c r="GU92" s="31"/>
      <c r="GV92" s="31"/>
      <c r="GW92" s="31"/>
      <c r="GX92" s="31"/>
      <c r="GY92" s="31"/>
      <c r="GZ92" s="31"/>
      <c r="HA92" s="31"/>
      <c r="HB92" s="31"/>
      <c r="HC92" s="31"/>
      <c r="HD92" s="31"/>
      <c r="HE92" s="31"/>
      <c r="HF92" s="31"/>
      <c r="HG92" s="31"/>
      <c r="HH92" s="31"/>
      <c r="HI92" s="31"/>
      <c r="HJ92" s="31"/>
      <c r="HK92" s="31"/>
      <c r="HL92" s="31"/>
      <c r="HM92" s="31"/>
      <c r="HN92" s="31"/>
      <c r="HO92" s="31"/>
      <c r="HP92" s="31"/>
      <c r="HQ92" s="31"/>
      <c r="HR92" s="31"/>
      <c r="HS92" s="31"/>
      <c r="HT92" s="31"/>
      <c r="HU92" s="31"/>
      <c r="HV92" s="31"/>
      <c r="HW92" s="31"/>
      <c r="HX92" s="31"/>
      <c r="HY92" s="31"/>
      <c r="HZ92" s="31"/>
    </row>
    <row r="93" spans="1:234" ht="14.25" customHeight="1" x14ac:dyDescent="0.35">
      <c r="A93" s="88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30"/>
      <c r="U93" s="27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1"/>
      <c r="BP93" s="31"/>
      <c r="BQ93" s="31"/>
      <c r="BR93" s="31"/>
      <c r="BS93" s="31"/>
      <c r="BT93" s="31"/>
      <c r="BU93" s="31"/>
      <c r="BV93" s="31"/>
      <c r="BW93" s="31"/>
      <c r="BX93" s="31"/>
      <c r="BY93" s="31"/>
      <c r="BZ93" s="31"/>
      <c r="CA93" s="31"/>
      <c r="CB93" s="31"/>
      <c r="CC93" s="31"/>
      <c r="CD93" s="31"/>
      <c r="CE93" s="31"/>
      <c r="CF93" s="31"/>
      <c r="CG93" s="31"/>
      <c r="CH93" s="31"/>
      <c r="CI93" s="31"/>
      <c r="CJ93" s="31"/>
      <c r="CK93" s="31"/>
      <c r="CL93" s="31"/>
      <c r="CM93" s="31"/>
      <c r="CN93" s="31"/>
      <c r="CO93" s="31"/>
      <c r="CP93" s="31"/>
      <c r="CQ93" s="31"/>
      <c r="CR93" s="31"/>
      <c r="CS93" s="31"/>
      <c r="CT93" s="31"/>
      <c r="CU93" s="31"/>
      <c r="CV93" s="31"/>
      <c r="CW93" s="31"/>
      <c r="CX93" s="31"/>
      <c r="CY93" s="31"/>
      <c r="CZ93" s="31"/>
      <c r="DA93" s="31"/>
      <c r="DB93" s="31"/>
      <c r="DC93" s="31"/>
      <c r="DD93" s="31"/>
      <c r="DE93" s="31"/>
      <c r="DF93" s="31"/>
      <c r="DG93" s="31"/>
      <c r="DH93" s="31"/>
      <c r="DI93" s="31"/>
      <c r="DJ93" s="31"/>
      <c r="DK93" s="31"/>
      <c r="DL93" s="31"/>
      <c r="DM93" s="31"/>
      <c r="DN93" s="31"/>
      <c r="DO93" s="31"/>
      <c r="DP93" s="31"/>
      <c r="DQ93" s="31"/>
      <c r="DR93" s="31"/>
      <c r="DS93" s="31"/>
      <c r="DT93" s="31"/>
      <c r="DU93" s="31"/>
      <c r="DV93" s="31"/>
      <c r="DW93" s="31"/>
      <c r="DX93" s="31"/>
      <c r="DY93" s="31"/>
      <c r="DZ93" s="31"/>
      <c r="EA93" s="31"/>
      <c r="EB93" s="31"/>
      <c r="EC93" s="31"/>
      <c r="ED93" s="31"/>
      <c r="EE93" s="31"/>
      <c r="EF93" s="31"/>
      <c r="EG93" s="31"/>
      <c r="EH93" s="31"/>
      <c r="EI93" s="31"/>
      <c r="EJ93" s="31"/>
      <c r="EK93" s="31"/>
      <c r="EL93" s="31"/>
      <c r="EM93" s="31"/>
      <c r="EN93" s="31"/>
      <c r="EO93" s="31"/>
      <c r="EP93" s="31"/>
      <c r="EQ93" s="31"/>
      <c r="ER93" s="31"/>
      <c r="ES93" s="31"/>
      <c r="ET93" s="31"/>
      <c r="EU93" s="31"/>
      <c r="EV93" s="31"/>
      <c r="EW93" s="31"/>
      <c r="EX93" s="31"/>
      <c r="EY93" s="31"/>
      <c r="EZ93" s="31"/>
      <c r="FA93" s="31"/>
      <c r="FB93" s="31"/>
      <c r="FC93" s="31"/>
      <c r="FD93" s="31"/>
      <c r="FE93" s="31"/>
      <c r="FF93" s="31"/>
      <c r="FG93" s="31"/>
      <c r="FH93" s="31"/>
      <c r="FI93" s="31"/>
      <c r="FJ93" s="31"/>
      <c r="FK93" s="31"/>
      <c r="FL93" s="31"/>
      <c r="FM93" s="31"/>
      <c r="FN93" s="31"/>
      <c r="FO93" s="31"/>
      <c r="FP93" s="31"/>
      <c r="FQ93" s="31"/>
      <c r="FR93" s="31"/>
      <c r="FS93" s="31"/>
      <c r="FT93" s="31"/>
      <c r="FU93" s="31"/>
      <c r="FV93" s="31"/>
      <c r="FW93" s="31"/>
      <c r="FX93" s="31"/>
      <c r="FY93" s="31"/>
      <c r="FZ93" s="31"/>
      <c r="GA93" s="31"/>
      <c r="GB93" s="31"/>
      <c r="GC93" s="31"/>
      <c r="GD93" s="31"/>
      <c r="GE93" s="31"/>
      <c r="GF93" s="31"/>
      <c r="GG93" s="31"/>
      <c r="GH93" s="31"/>
      <c r="GI93" s="31"/>
      <c r="GJ93" s="31"/>
      <c r="GK93" s="31"/>
      <c r="GL93" s="31"/>
      <c r="GM93" s="31"/>
      <c r="GN93" s="31"/>
      <c r="GO93" s="31"/>
      <c r="GP93" s="31"/>
      <c r="GQ93" s="31"/>
      <c r="GR93" s="31"/>
      <c r="GS93" s="31"/>
      <c r="GT93" s="31"/>
      <c r="GU93" s="31"/>
      <c r="GV93" s="31"/>
      <c r="GW93" s="31"/>
      <c r="GX93" s="31"/>
      <c r="GY93" s="31"/>
      <c r="GZ93" s="31"/>
      <c r="HA93" s="31"/>
      <c r="HB93" s="31"/>
      <c r="HC93" s="31"/>
      <c r="HD93" s="31"/>
      <c r="HE93" s="31"/>
      <c r="HF93" s="31"/>
      <c r="HG93" s="31"/>
      <c r="HH93" s="31"/>
      <c r="HI93" s="31"/>
      <c r="HJ93" s="31"/>
      <c r="HK93" s="31"/>
      <c r="HL93" s="31"/>
      <c r="HM93" s="31"/>
      <c r="HN93" s="31"/>
      <c r="HO93" s="31"/>
      <c r="HP93" s="31"/>
      <c r="HQ93" s="31"/>
      <c r="HR93" s="31"/>
      <c r="HS93" s="31"/>
      <c r="HT93" s="31"/>
      <c r="HU93" s="31"/>
      <c r="HV93" s="31"/>
      <c r="HW93" s="31"/>
      <c r="HX93" s="31"/>
      <c r="HY93" s="31"/>
      <c r="HZ93" s="31"/>
    </row>
    <row r="94" spans="1:234" ht="14.25" customHeight="1" x14ac:dyDescent="0.35">
      <c r="A94" s="88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30"/>
      <c r="U94" s="27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1"/>
      <c r="BH94" s="31"/>
      <c r="BI94" s="31"/>
      <c r="BJ94" s="31"/>
      <c r="BK94" s="31"/>
      <c r="BL94" s="31"/>
      <c r="BM94" s="31"/>
      <c r="BN94" s="31"/>
      <c r="BO94" s="31"/>
      <c r="BP94" s="31"/>
      <c r="BQ94" s="31"/>
      <c r="BR94" s="31"/>
      <c r="BS94" s="31"/>
      <c r="BT94" s="31"/>
      <c r="BU94" s="31"/>
      <c r="BV94" s="31"/>
      <c r="BW94" s="31"/>
      <c r="BX94" s="31"/>
      <c r="BY94" s="31"/>
      <c r="BZ94" s="31"/>
      <c r="CA94" s="31"/>
      <c r="CB94" s="31"/>
      <c r="CC94" s="31"/>
      <c r="CD94" s="31"/>
      <c r="CE94" s="31"/>
      <c r="CF94" s="31"/>
      <c r="CG94" s="31"/>
      <c r="CH94" s="31"/>
      <c r="CI94" s="31"/>
      <c r="CJ94" s="31"/>
      <c r="CK94" s="31"/>
      <c r="CL94" s="31"/>
      <c r="CM94" s="31"/>
      <c r="CN94" s="31"/>
      <c r="CO94" s="31"/>
      <c r="CP94" s="31"/>
      <c r="CQ94" s="31"/>
      <c r="CR94" s="31"/>
      <c r="CS94" s="31"/>
      <c r="CT94" s="31"/>
      <c r="CU94" s="31"/>
      <c r="CV94" s="31"/>
      <c r="CW94" s="31"/>
      <c r="CX94" s="31"/>
      <c r="CY94" s="31"/>
      <c r="CZ94" s="31"/>
      <c r="DA94" s="31"/>
      <c r="DB94" s="31"/>
      <c r="DC94" s="31"/>
      <c r="DD94" s="31"/>
      <c r="DE94" s="31"/>
      <c r="DF94" s="31"/>
      <c r="DG94" s="31"/>
      <c r="DH94" s="31"/>
      <c r="DI94" s="31"/>
      <c r="DJ94" s="31"/>
      <c r="DK94" s="31"/>
      <c r="DL94" s="31"/>
      <c r="DM94" s="31"/>
      <c r="DN94" s="31"/>
      <c r="DO94" s="31"/>
      <c r="DP94" s="31"/>
      <c r="DQ94" s="31"/>
      <c r="DR94" s="31"/>
      <c r="DS94" s="31"/>
      <c r="DT94" s="31"/>
      <c r="DU94" s="31"/>
      <c r="DV94" s="31"/>
      <c r="DW94" s="31"/>
      <c r="DX94" s="31"/>
      <c r="DY94" s="31"/>
      <c r="DZ94" s="31"/>
      <c r="EA94" s="31"/>
      <c r="EB94" s="31"/>
      <c r="EC94" s="31"/>
      <c r="ED94" s="31"/>
      <c r="EE94" s="31"/>
      <c r="EF94" s="31"/>
      <c r="EG94" s="31"/>
      <c r="EH94" s="31"/>
      <c r="EI94" s="31"/>
      <c r="EJ94" s="31"/>
      <c r="EK94" s="31"/>
      <c r="EL94" s="31"/>
      <c r="EM94" s="31"/>
      <c r="EN94" s="31"/>
      <c r="EO94" s="31"/>
      <c r="EP94" s="31"/>
      <c r="EQ94" s="31"/>
      <c r="ER94" s="31"/>
      <c r="ES94" s="31"/>
      <c r="ET94" s="31"/>
      <c r="EU94" s="31"/>
      <c r="EV94" s="31"/>
      <c r="EW94" s="31"/>
      <c r="EX94" s="31"/>
      <c r="EY94" s="31"/>
      <c r="EZ94" s="31"/>
      <c r="FA94" s="31"/>
      <c r="FB94" s="31"/>
      <c r="FC94" s="31"/>
      <c r="FD94" s="31"/>
      <c r="FE94" s="31"/>
      <c r="FF94" s="31"/>
      <c r="FG94" s="31"/>
      <c r="FH94" s="31"/>
      <c r="FI94" s="31"/>
      <c r="FJ94" s="31"/>
      <c r="FK94" s="31"/>
      <c r="FL94" s="31"/>
      <c r="FM94" s="31"/>
      <c r="FN94" s="31"/>
      <c r="FO94" s="31"/>
      <c r="FP94" s="31"/>
      <c r="FQ94" s="31"/>
      <c r="FR94" s="31"/>
      <c r="FS94" s="31"/>
      <c r="FT94" s="31"/>
      <c r="FU94" s="31"/>
      <c r="FV94" s="31"/>
      <c r="FW94" s="31"/>
      <c r="FX94" s="31"/>
      <c r="FY94" s="31"/>
      <c r="FZ94" s="31"/>
      <c r="GA94" s="31"/>
      <c r="GB94" s="31"/>
      <c r="GC94" s="31"/>
      <c r="GD94" s="31"/>
      <c r="GE94" s="31"/>
      <c r="GF94" s="31"/>
      <c r="GG94" s="31"/>
      <c r="GH94" s="31"/>
      <c r="GI94" s="31"/>
      <c r="GJ94" s="31"/>
      <c r="GK94" s="31"/>
      <c r="GL94" s="31"/>
      <c r="GM94" s="31"/>
      <c r="GN94" s="31"/>
      <c r="GO94" s="31"/>
      <c r="GP94" s="31"/>
      <c r="GQ94" s="31"/>
      <c r="GR94" s="31"/>
      <c r="GS94" s="31"/>
      <c r="GT94" s="31"/>
      <c r="GU94" s="31"/>
      <c r="GV94" s="31"/>
      <c r="GW94" s="31"/>
      <c r="GX94" s="31"/>
      <c r="GY94" s="31"/>
      <c r="GZ94" s="31"/>
      <c r="HA94" s="31"/>
      <c r="HB94" s="31"/>
      <c r="HC94" s="31"/>
      <c r="HD94" s="31"/>
      <c r="HE94" s="31"/>
      <c r="HF94" s="31"/>
      <c r="HG94" s="31"/>
      <c r="HH94" s="31"/>
      <c r="HI94" s="31"/>
      <c r="HJ94" s="31"/>
      <c r="HK94" s="31"/>
      <c r="HL94" s="31"/>
      <c r="HM94" s="31"/>
      <c r="HN94" s="31"/>
      <c r="HO94" s="31"/>
      <c r="HP94" s="31"/>
      <c r="HQ94" s="31"/>
      <c r="HR94" s="31"/>
      <c r="HS94" s="31"/>
      <c r="HT94" s="31"/>
      <c r="HU94" s="31"/>
      <c r="HV94" s="31"/>
      <c r="HW94" s="31"/>
      <c r="HX94" s="31"/>
      <c r="HY94" s="31"/>
      <c r="HZ94" s="31"/>
    </row>
    <row r="95" spans="1:234" ht="14.25" customHeight="1" x14ac:dyDescent="0.35">
      <c r="A95" s="88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30"/>
      <c r="U95" s="27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  <c r="BO95" s="31"/>
      <c r="BP95" s="31"/>
      <c r="BQ95" s="31"/>
      <c r="BR95" s="31"/>
      <c r="BS95" s="31"/>
      <c r="BT95" s="31"/>
      <c r="BU95" s="31"/>
      <c r="BV95" s="31"/>
      <c r="BW95" s="31"/>
      <c r="BX95" s="31"/>
      <c r="BY95" s="31"/>
      <c r="BZ95" s="31"/>
      <c r="CA95" s="31"/>
      <c r="CB95" s="31"/>
      <c r="CC95" s="31"/>
      <c r="CD95" s="31"/>
      <c r="CE95" s="31"/>
      <c r="CF95" s="31"/>
      <c r="CG95" s="31"/>
      <c r="CH95" s="31"/>
      <c r="CI95" s="31"/>
      <c r="CJ95" s="31"/>
      <c r="CK95" s="31"/>
      <c r="CL95" s="31"/>
      <c r="CM95" s="31"/>
      <c r="CN95" s="31"/>
      <c r="CO95" s="31"/>
      <c r="CP95" s="31"/>
      <c r="CQ95" s="31"/>
      <c r="CR95" s="31"/>
      <c r="CS95" s="31"/>
      <c r="CT95" s="31"/>
      <c r="CU95" s="31"/>
      <c r="CV95" s="31"/>
      <c r="CW95" s="31"/>
      <c r="CX95" s="31"/>
      <c r="CY95" s="31"/>
      <c r="CZ95" s="31"/>
      <c r="DA95" s="31"/>
      <c r="DB95" s="31"/>
      <c r="DC95" s="31"/>
      <c r="DD95" s="31"/>
      <c r="DE95" s="31"/>
      <c r="DF95" s="31"/>
      <c r="DG95" s="31"/>
      <c r="DH95" s="31"/>
      <c r="DI95" s="31"/>
      <c r="DJ95" s="31"/>
      <c r="DK95" s="31"/>
      <c r="DL95" s="31"/>
      <c r="DM95" s="31"/>
      <c r="DN95" s="31"/>
      <c r="DO95" s="31"/>
      <c r="DP95" s="31"/>
      <c r="DQ95" s="31"/>
      <c r="DR95" s="31"/>
      <c r="DS95" s="31"/>
      <c r="DT95" s="31"/>
      <c r="DU95" s="31"/>
      <c r="DV95" s="31"/>
      <c r="DW95" s="31"/>
      <c r="DX95" s="31"/>
      <c r="DY95" s="31"/>
      <c r="DZ95" s="31"/>
      <c r="EA95" s="31"/>
      <c r="EB95" s="31"/>
      <c r="EC95" s="31"/>
      <c r="ED95" s="31"/>
      <c r="EE95" s="31"/>
      <c r="EF95" s="31"/>
      <c r="EG95" s="31"/>
      <c r="EH95" s="31"/>
      <c r="EI95" s="31"/>
      <c r="EJ95" s="31"/>
      <c r="EK95" s="31"/>
      <c r="EL95" s="31"/>
      <c r="EM95" s="31"/>
      <c r="EN95" s="31"/>
      <c r="EO95" s="31"/>
      <c r="EP95" s="31"/>
      <c r="EQ95" s="31"/>
      <c r="ER95" s="31"/>
      <c r="ES95" s="31"/>
      <c r="ET95" s="31"/>
      <c r="EU95" s="31"/>
      <c r="EV95" s="31"/>
      <c r="EW95" s="31"/>
      <c r="EX95" s="31"/>
      <c r="EY95" s="31"/>
      <c r="EZ95" s="31"/>
      <c r="FA95" s="31"/>
      <c r="FB95" s="31"/>
      <c r="FC95" s="31"/>
      <c r="FD95" s="31"/>
      <c r="FE95" s="31"/>
      <c r="FF95" s="31"/>
      <c r="FG95" s="31"/>
      <c r="FH95" s="31"/>
      <c r="FI95" s="31"/>
      <c r="FJ95" s="31"/>
      <c r="FK95" s="31"/>
      <c r="FL95" s="31"/>
      <c r="FM95" s="31"/>
      <c r="FN95" s="31"/>
      <c r="FO95" s="31"/>
      <c r="FP95" s="31"/>
      <c r="FQ95" s="31"/>
      <c r="FR95" s="31"/>
      <c r="FS95" s="31"/>
      <c r="FT95" s="31"/>
      <c r="FU95" s="31"/>
      <c r="FV95" s="31"/>
      <c r="FW95" s="31"/>
      <c r="FX95" s="31"/>
      <c r="FY95" s="31"/>
      <c r="FZ95" s="31"/>
      <c r="GA95" s="31"/>
      <c r="GB95" s="31"/>
      <c r="GC95" s="31"/>
      <c r="GD95" s="31"/>
      <c r="GE95" s="31"/>
      <c r="GF95" s="31"/>
      <c r="GG95" s="31"/>
      <c r="GH95" s="31"/>
      <c r="GI95" s="31"/>
      <c r="GJ95" s="31"/>
      <c r="GK95" s="31"/>
      <c r="GL95" s="31"/>
      <c r="GM95" s="31"/>
      <c r="GN95" s="31"/>
      <c r="GO95" s="31"/>
      <c r="GP95" s="31"/>
      <c r="GQ95" s="31"/>
      <c r="GR95" s="31"/>
      <c r="GS95" s="31"/>
      <c r="GT95" s="31"/>
      <c r="GU95" s="31"/>
      <c r="GV95" s="31"/>
      <c r="GW95" s="31"/>
      <c r="GX95" s="31"/>
      <c r="GY95" s="31"/>
      <c r="GZ95" s="31"/>
      <c r="HA95" s="31"/>
      <c r="HB95" s="31"/>
      <c r="HC95" s="31"/>
      <c r="HD95" s="31"/>
      <c r="HE95" s="31"/>
      <c r="HF95" s="31"/>
      <c r="HG95" s="31"/>
      <c r="HH95" s="31"/>
      <c r="HI95" s="31"/>
      <c r="HJ95" s="31"/>
      <c r="HK95" s="31"/>
      <c r="HL95" s="31"/>
      <c r="HM95" s="31"/>
      <c r="HN95" s="31"/>
      <c r="HO95" s="31"/>
      <c r="HP95" s="31"/>
      <c r="HQ95" s="31"/>
      <c r="HR95" s="31"/>
      <c r="HS95" s="31"/>
      <c r="HT95" s="31"/>
      <c r="HU95" s="31"/>
      <c r="HV95" s="31"/>
      <c r="HW95" s="31"/>
      <c r="HX95" s="31"/>
      <c r="HY95" s="31"/>
      <c r="HZ95" s="31"/>
    </row>
    <row r="96" spans="1:234" ht="14.25" customHeight="1" x14ac:dyDescent="0.35">
      <c r="A96" s="88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30"/>
      <c r="U96" s="27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31"/>
      <c r="BI96" s="31"/>
      <c r="BJ96" s="31"/>
      <c r="BK96" s="31"/>
      <c r="BL96" s="31"/>
      <c r="BM96" s="31"/>
      <c r="BN96" s="31"/>
      <c r="BO96" s="31"/>
      <c r="BP96" s="31"/>
      <c r="BQ96" s="31"/>
      <c r="BR96" s="31"/>
      <c r="BS96" s="31"/>
      <c r="BT96" s="31"/>
      <c r="BU96" s="31"/>
      <c r="BV96" s="31"/>
      <c r="BW96" s="31"/>
      <c r="BX96" s="31"/>
      <c r="BY96" s="31"/>
      <c r="BZ96" s="31"/>
      <c r="CA96" s="31"/>
      <c r="CB96" s="31"/>
      <c r="CC96" s="31"/>
      <c r="CD96" s="31"/>
      <c r="CE96" s="31"/>
      <c r="CF96" s="31"/>
      <c r="CG96" s="31"/>
      <c r="CH96" s="31"/>
      <c r="CI96" s="31"/>
      <c r="CJ96" s="31"/>
      <c r="CK96" s="31"/>
      <c r="CL96" s="31"/>
      <c r="CM96" s="31"/>
      <c r="CN96" s="31"/>
      <c r="CO96" s="31"/>
      <c r="CP96" s="31"/>
      <c r="CQ96" s="31"/>
      <c r="CR96" s="31"/>
      <c r="CS96" s="31"/>
      <c r="CT96" s="31"/>
      <c r="CU96" s="31"/>
      <c r="CV96" s="31"/>
      <c r="CW96" s="31"/>
      <c r="CX96" s="31"/>
      <c r="CY96" s="31"/>
      <c r="CZ96" s="31"/>
      <c r="DA96" s="31"/>
      <c r="DB96" s="31"/>
      <c r="DC96" s="31"/>
      <c r="DD96" s="31"/>
      <c r="DE96" s="31"/>
      <c r="DF96" s="31"/>
      <c r="DG96" s="31"/>
      <c r="DH96" s="31"/>
      <c r="DI96" s="31"/>
      <c r="DJ96" s="31"/>
      <c r="DK96" s="31"/>
      <c r="DL96" s="31"/>
      <c r="DM96" s="31"/>
      <c r="DN96" s="31"/>
      <c r="DO96" s="31"/>
      <c r="DP96" s="31"/>
      <c r="DQ96" s="31"/>
      <c r="DR96" s="31"/>
      <c r="DS96" s="31"/>
      <c r="DT96" s="31"/>
      <c r="DU96" s="31"/>
      <c r="DV96" s="31"/>
      <c r="DW96" s="31"/>
      <c r="DX96" s="31"/>
      <c r="DY96" s="31"/>
      <c r="DZ96" s="31"/>
      <c r="EA96" s="31"/>
      <c r="EB96" s="31"/>
      <c r="EC96" s="31"/>
      <c r="ED96" s="31"/>
      <c r="EE96" s="31"/>
      <c r="EF96" s="31"/>
      <c r="EG96" s="31"/>
      <c r="EH96" s="31"/>
      <c r="EI96" s="31"/>
      <c r="EJ96" s="31"/>
      <c r="EK96" s="31"/>
      <c r="EL96" s="31"/>
      <c r="EM96" s="31"/>
      <c r="EN96" s="31"/>
      <c r="EO96" s="31"/>
      <c r="EP96" s="31"/>
      <c r="EQ96" s="31"/>
      <c r="ER96" s="31"/>
      <c r="ES96" s="31"/>
      <c r="ET96" s="31"/>
      <c r="EU96" s="31"/>
      <c r="EV96" s="31"/>
      <c r="EW96" s="31"/>
      <c r="EX96" s="31"/>
      <c r="EY96" s="31"/>
      <c r="EZ96" s="31"/>
      <c r="FA96" s="31"/>
      <c r="FB96" s="31"/>
      <c r="FC96" s="31"/>
      <c r="FD96" s="31"/>
      <c r="FE96" s="31"/>
      <c r="FF96" s="31"/>
      <c r="FG96" s="31"/>
      <c r="FH96" s="31"/>
      <c r="FI96" s="31"/>
      <c r="FJ96" s="31"/>
      <c r="FK96" s="31"/>
      <c r="FL96" s="31"/>
      <c r="FM96" s="31"/>
      <c r="FN96" s="31"/>
      <c r="FO96" s="31"/>
      <c r="FP96" s="31"/>
      <c r="FQ96" s="31"/>
      <c r="FR96" s="31"/>
      <c r="FS96" s="31"/>
      <c r="FT96" s="31"/>
      <c r="FU96" s="31"/>
      <c r="FV96" s="31"/>
      <c r="FW96" s="31"/>
      <c r="FX96" s="31"/>
      <c r="FY96" s="31"/>
      <c r="FZ96" s="31"/>
      <c r="GA96" s="31"/>
      <c r="GB96" s="31"/>
      <c r="GC96" s="31"/>
      <c r="GD96" s="31"/>
      <c r="GE96" s="31"/>
      <c r="GF96" s="31"/>
      <c r="GG96" s="31"/>
      <c r="GH96" s="31"/>
      <c r="GI96" s="31"/>
      <c r="GJ96" s="31"/>
      <c r="GK96" s="31"/>
      <c r="GL96" s="31"/>
      <c r="GM96" s="31"/>
      <c r="GN96" s="31"/>
      <c r="GO96" s="31"/>
      <c r="GP96" s="31"/>
      <c r="GQ96" s="31"/>
      <c r="GR96" s="31"/>
      <c r="GS96" s="31"/>
      <c r="GT96" s="31"/>
      <c r="GU96" s="31"/>
      <c r="GV96" s="31"/>
      <c r="GW96" s="31"/>
      <c r="GX96" s="31"/>
      <c r="GY96" s="31"/>
      <c r="GZ96" s="31"/>
      <c r="HA96" s="31"/>
      <c r="HB96" s="31"/>
      <c r="HC96" s="31"/>
      <c r="HD96" s="31"/>
      <c r="HE96" s="31"/>
      <c r="HF96" s="31"/>
      <c r="HG96" s="31"/>
      <c r="HH96" s="31"/>
      <c r="HI96" s="31"/>
      <c r="HJ96" s="31"/>
      <c r="HK96" s="31"/>
      <c r="HL96" s="31"/>
      <c r="HM96" s="31"/>
      <c r="HN96" s="31"/>
      <c r="HO96" s="31"/>
      <c r="HP96" s="31"/>
      <c r="HQ96" s="31"/>
      <c r="HR96" s="31"/>
      <c r="HS96" s="31"/>
      <c r="HT96" s="31"/>
      <c r="HU96" s="31"/>
      <c r="HV96" s="31"/>
      <c r="HW96" s="31"/>
      <c r="HX96" s="31"/>
      <c r="HY96" s="31"/>
      <c r="HZ96" s="31"/>
    </row>
    <row r="97" spans="1:234" ht="14.25" customHeight="1" x14ac:dyDescent="0.35">
      <c r="A97" s="88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30"/>
      <c r="U97" s="27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  <c r="BO97" s="31"/>
      <c r="BP97" s="31"/>
      <c r="BQ97" s="31"/>
      <c r="BR97" s="31"/>
      <c r="BS97" s="31"/>
      <c r="BT97" s="31"/>
      <c r="BU97" s="31"/>
      <c r="BV97" s="31"/>
      <c r="BW97" s="31"/>
      <c r="BX97" s="31"/>
      <c r="BY97" s="31"/>
      <c r="BZ97" s="31"/>
      <c r="CA97" s="31"/>
      <c r="CB97" s="31"/>
      <c r="CC97" s="31"/>
      <c r="CD97" s="31"/>
      <c r="CE97" s="31"/>
      <c r="CF97" s="31"/>
      <c r="CG97" s="31"/>
      <c r="CH97" s="31"/>
      <c r="CI97" s="31"/>
      <c r="CJ97" s="31"/>
      <c r="CK97" s="31"/>
      <c r="CL97" s="31"/>
      <c r="CM97" s="31"/>
      <c r="CN97" s="31"/>
      <c r="CO97" s="31"/>
      <c r="CP97" s="31"/>
      <c r="CQ97" s="31"/>
      <c r="CR97" s="31"/>
      <c r="CS97" s="31"/>
      <c r="CT97" s="31"/>
      <c r="CU97" s="31"/>
      <c r="CV97" s="31"/>
      <c r="CW97" s="31"/>
      <c r="CX97" s="31"/>
      <c r="CY97" s="31"/>
      <c r="CZ97" s="31"/>
      <c r="DA97" s="31"/>
      <c r="DB97" s="31"/>
      <c r="DC97" s="31"/>
      <c r="DD97" s="31"/>
      <c r="DE97" s="31"/>
      <c r="DF97" s="31"/>
      <c r="DG97" s="31"/>
      <c r="DH97" s="31"/>
      <c r="DI97" s="31"/>
      <c r="DJ97" s="31"/>
      <c r="DK97" s="31"/>
      <c r="DL97" s="31"/>
      <c r="DM97" s="31"/>
      <c r="DN97" s="31"/>
      <c r="DO97" s="31"/>
      <c r="DP97" s="31"/>
      <c r="DQ97" s="31"/>
      <c r="DR97" s="31"/>
      <c r="DS97" s="31"/>
      <c r="DT97" s="31"/>
      <c r="DU97" s="31"/>
      <c r="DV97" s="31"/>
      <c r="DW97" s="31"/>
      <c r="DX97" s="31"/>
      <c r="DY97" s="31"/>
      <c r="DZ97" s="31"/>
      <c r="EA97" s="31"/>
      <c r="EB97" s="31"/>
      <c r="EC97" s="31"/>
      <c r="ED97" s="31"/>
      <c r="EE97" s="31"/>
      <c r="EF97" s="31"/>
      <c r="EG97" s="31"/>
      <c r="EH97" s="31"/>
      <c r="EI97" s="31"/>
      <c r="EJ97" s="31"/>
      <c r="EK97" s="31"/>
      <c r="EL97" s="31"/>
      <c r="EM97" s="31"/>
      <c r="EN97" s="31"/>
      <c r="EO97" s="31"/>
      <c r="EP97" s="31"/>
      <c r="EQ97" s="31"/>
      <c r="ER97" s="31"/>
      <c r="ES97" s="31"/>
      <c r="ET97" s="31"/>
      <c r="EU97" s="31"/>
      <c r="EV97" s="31"/>
      <c r="EW97" s="31"/>
      <c r="EX97" s="31"/>
      <c r="EY97" s="31"/>
      <c r="EZ97" s="31"/>
      <c r="FA97" s="31"/>
      <c r="FB97" s="31"/>
      <c r="FC97" s="31"/>
      <c r="FD97" s="31"/>
      <c r="FE97" s="31"/>
      <c r="FF97" s="31"/>
      <c r="FG97" s="31"/>
      <c r="FH97" s="31"/>
      <c r="FI97" s="31"/>
      <c r="FJ97" s="31"/>
      <c r="FK97" s="31"/>
      <c r="FL97" s="31"/>
      <c r="FM97" s="31"/>
      <c r="FN97" s="31"/>
      <c r="FO97" s="31"/>
      <c r="FP97" s="31"/>
      <c r="FQ97" s="31"/>
      <c r="FR97" s="31"/>
      <c r="FS97" s="31"/>
      <c r="FT97" s="31"/>
      <c r="FU97" s="31"/>
      <c r="FV97" s="31"/>
      <c r="FW97" s="31"/>
      <c r="FX97" s="31"/>
      <c r="FY97" s="31"/>
      <c r="FZ97" s="31"/>
      <c r="GA97" s="31"/>
      <c r="GB97" s="31"/>
      <c r="GC97" s="31"/>
      <c r="GD97" s="31"/>
      <c r="GE97" s="31"/>
      <c r="GF97" s="31"/>
      <c r="GG97" s="31"/>
      <c r="GH97" s="31"/>
      <c r="GI97" s="31"/>
      <c r="GJ97" s="31"/>
      <c r="GK97" s="31"/>
      <c r="GL97" s="31"/>
      <c r="GM97" s="31"/>
      <c r="GN97" s="31"/>
      <c r="GO97" s="31"/>
      <c r="GP97" s="31"/>
      <c r="GQ97" s="31"/>
      <c r="GR97" s="31"/>
      <c r="GS97" s="31"/>
      <c r="GT97" s="31"/>
      <c r="GU97" s="31"/>
      <c r="GV97" s="31"/>
      <c r="GW97" s="31"/>
      <c r="GX97" s="31"/>
      <c r="GY97" s="31"/>
      <c r="GZ97" s="31"/>
      <c r="HA97" s="31"/>
      <c r="HB97" s="31"/>
      <c r="HC97" s="31"/>
      <c r="HD97" s="31"/>
      <c r="HE97" s="31"/>
      <c r="HF97" s="31"/>
      <c r="HG97" s="31"/>
      <c r="HH97" s="31"/>
      <c r="HI97" s="31"/>
      <c r="HJ97" s="31"/>
      <c r="HK97" s="31"/>
      <c r="HL97" s="31"/>
      <c r="HM97" s="31"/>
      <c r="HN97" s="31"/>
      <c r="HO97" s="31"/>
      <c r="HP97" s="31"/>
      <c r="HQ97" s="31"/>
      <c r="HR97" s="31"/>
      <c r="HS97" s="31"/>
      <c r="HT97" s="31"/>
      <c r="HU97" s="31"/>
      <c r="HV97" s="31"/>
      <c r="HW97" s="31"/>
      <c r="HX97" s="31"/>
      <c r="HY97" s="31"/>
      <c r="HZ97" s="31"/>
    </row>
    <row r="98" spans="1:234" ht="14.25" customHeight="1" x14ac:dyDescent="0.35">
      <c r="A98" s="88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30"/>
      <c r="U98" s="27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  <c r="BO98" s="31"/>
      <c r="BP98" s="31"/>
      <c r="BQ98" s="31"/>
      <c r="BR98" s="31"/>
      <c r="BS98" s="31"/>
      <c r="BT98" s="31"/>
      <c r="BU98" s="31"/>
      <c r="BV98" s="31"/>
      <c r="BW98" s="31"/>
      <c r="BX98" s="31"/>
      <c r="BY98" s="31"/>
      <c r="BZ98" s="31"/>
      <c r="CA98" s="31"/>
      <c r="CB98" s="31"/>
      <c r="CC98" s="31"/>
      <c r="CD98" s="31"/>
      <c r="CE98" s="31"/>
      <c r="CF98" s="31"/>
      <c r="CG98" s="31"/>
      <c r="CH98" s="31"/>
      <c r="CI98" s="31"/>
      <c r="CJ98" s="31"/>
      <c r="CK98" s="31"/>
      <c r="CL98" s="31"/>
      <c r="CM98" s="31"/>
      <c r="CN98" s="31"/>
      <c r="CO98" s="31"/>
      <c r="CP98" s="31"/>
      <c r="CQ98" s="31"/>
      <c r="CR98" s="31"/>
      <c r="CS98" s="31"/>
      <c r="CT98" s="31"/>
      <c r="CU98" s="31"/>
      <c r="CV98" s="31"/>
      <c r="CW98" s="31"/>
      <c r="CX98" s="31"/>
      <c r="CY98" s="31"/>
      <c r="CZ98" s="31"/>
      <c r="DA98" s="31"/>
      <c r="DB98" s="31"/>
      <c r="DC98" s="31"/>
      <c r="DD98" s="31"/>
      <c r="DE98" s="31"/>
      <c r="DF98" s="31"/>
      <c r="DG98" s="31"/>
      <c r="DH98" s="31"/>
      <c r="DI98" s="31"/>
      <c r="DJ98" s="31"/>
      <c r="DK98" s="31"/>
      <c r="DL98" s="31"/>
      <c r="DM98" s="31"/>
      <c r="DN98" s="31"/>
      <c r="DO98" s="31"/>
      <c r="DP98" s="31"/>
      <c r="DQ98" s="31"/>
      <c r="DR98" s="31"/>
      <c r="DS98" s="31"/>
      <c r="DT98" s="31"/>
      <c r="DU98" s="31"/>
      <c r="DV98" s="31"/>
      <c r="DW98" s="31"/>
      <c r="DX98" s="31"/>
      <c r="DY98" s="31"/>
      <c r="DZ98" s="31"/>
      <c r="EA98" s="31"/>
      <c r="EB98" s="31"/>
      <c r="EC98" s="31"/>
      <c r="ED98" s="31"/>
      <c r="EE98" s="31"/>
      <c r="EF98" s="31"/>
      <c r="EG98" s="31"/>
      <c r="EH98" s="31"/>
      <c r="EI98" s="31"/>
      <c r="EJ98" s="31"/>
      <c r="EK98" s="31"/>
      <c r="EL98" s="31"/>
      <c r="EM98" s="31"/>
      <c r="EN98" s="31"/>
      <c r="EO98" s="31"/>
      <c r="EP98" s="31"/>
      <c r="EQ98" s="31"/>
      <c r="ER98" s="31"/>
      <c r="ES98" s="31"/>
      <c r="ET98" s="31"/>
      <c r="EU98" s="31"/>
      <c r="EV98" s="31"/>
      <c r="EW98" s="31"/>
      <c r="EX98" s="31"/>
      <c r="EY98" s="31"/>
      <c r="EZ98" s="31"/>
      <c r="FA98" s="31"/>
      <c r="FB98" s="31"/>
      <c r="FC98" s="31"/>
      <c r="FD98" s="31"/>
      <c r="FE98" s="31"/>
      <c r="FF98" s="31"/>
      <c r="FG98" s="31"/>
      <c r="FH98" s="31"/>
      <c r="FI98" s="31"/>
      <c r="FJ98" s="31"/>
      <c r="FK98" s="31"/>
      <c r="FL98" s="31"/>
      <c r="FM98" s="31"/>
      <c r="FN98" s="31"/>
      <c r="FO98" s="31"/>
      <c r="FP98" s="31"/>
      <c r="FQ98" s="31"/>
      <c r="FR98" s="31"/>
      <c r="FS98" s="31"/>
      <c r="FT98" s="31"/>
      <c r="FU98" s="31"/>
      <c r="FV98" s="31"/>
      <c r="FW98" s="31"/>
      <c r="FX98" s="31"/>
      <c r="FY98" s="31"/>
      <c r="FZ98" s="31"/>
      <c r="GA98" s="31"/>
      <c r="GB98" s="31"/>
      <c r="GC98" s="31"/>
      <c r="GD98" s="31"/>
      <c r="GE98" s="31"/>
      <c r="GF98" s="31"/>
      <c r="GG98" s="31"/>
      <c r="GH98" s="31"/>
      <c r="GI98" s="31"/>
      <c r="GJ98" s="31"/>
      <c r="GK98" s="31"/>
      <c r="GL98" s="31"/>
      <c r="GM98" s="31"/>
      <c r="GN98" s="31"/>
      <c r="GO98" s="31"/>
      <c r="GP98" s="31"/>
      <c r="GQ98" s="31"/>
      <c r="GR98" s="31"/>
      <c r="GS98" s="31"/>
      <c r="GT98" s="31"/>
      <c r="GU98" s="31"/>
      <c r="GV98" s="31"/>
      <c r="GW98" s="31"/>
      <c r="GX98" s="31"/>
      <c r="GY98" s="31"/>
      <c r="GZ98" s="31"/>
      <c r="HA98" s="31"/>
      <c r="HB98" s="31"/>
      <c r="HC98" s="31"/>
      <c r="HD98" s="31"/>
      <c r="HE98" s="31"/>
      <c r="HF98" s="31"/>
      <c r="HG98" s="31"/>
      <c r="HH98" s="31"/>
      <c r="HI98" s="31"/>
      <c r="HJ98" s="31"/>
      <c r="HK98" s="31"/>
      <c r="HL98" s="31"/>
      <c r="HM98" s="31"/>
      <c r="HN98" s="31"/>
      <c r="HO98" s="31"/>
      <c r="HP98" s="31"/>
      <c r="HQ98" s="31"/>
      <c r="HR98" s="31"/>
      <c r="HS98" s="31"/>
      <c r="HT98" s="31"/>
      <c r="HU98" s="31"/>
      <c r="HV98" s="31"/>
      <c r="HW98" s="31"/>
      <c r="HX98" s="31"/>
      <c r="HY98" s="31"/>
      <c r="HZ98" s="31"/>
    </row>
    <row r="99" spans="1:234" ht="14.25" customHeight="1" x14ac:dyDescent="0.35">
      <c r="A99" s="88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30"/>
      <c r="U99" s="27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  <c r="BO99" s="31"/>
      <c r="BP99" s="31"/>
      <c r="BQ99" s="31"/>
      <c r="BR99" s="31"/>
      <c r="BS99" s="31"/>
      <c r="BT99" s="31"/>
      <c r="BU99" s="31"/>
      <c r="BV99" s="31"/>
      <c r="BW99" s="31"/>
      <c r="BX99" s="31"/>
      <c r="BY99" s="31"/>
      <c r="BZ99" s="31"/>
      <c r="CA99" s="31"/>
      <c r="CB99" s="31"/>
      <c r="CC99" s="31"/>
      <c r="CD99" s="31"/>
      <c r="CE99" s="31"/>
      <c r="CF99" s="31"/>
      <c r="CG99" s="31"/>
      <c r="CH99" s="31"/>
      <c r="CI99" s="31"/>
      <c r="CJ99" s="31"/>
      <c r="CK99" s="31"/>
      <c r="CL99" s="31"/>
      <c r="CM99" s="31"/>
      <c r="CN99" s="31"/>
      <c r="CO99" s="31"/>
      <c r="CP99" s="31"/>
      <c r="CQ99" s="31"/>
      <c r="CR99" s="31"/>
      <c r="CS99" s="31"/>
      <c r="CT99" s="31"/>
      <c r="CU99" s="31"/>
      <c r="CV99" s="31"/>
      <c r="CW99" s="31"/>
      <c r="CX99" s="31"/>
      <c r="CY99" s="31"/>
      <c r="CZ99" s="31"/>
      <c r="DA99" s="31"/>
      <c r="DB99" s="31"/>
      <c r="DC99" s="31"/>
      <c r="DD99" s="31"/>
      <c r="DE99" s="31"/>
      <c r="DF99" s="31"/>
      <c r="DG99" s="31"/>
      <c r="DH99" s="31"/>
      <c r="DI99" s="31"/>
      <c r="DJ99" s="31"/>
      <c r="DK99" s="31"/>
      <c r="DL99" s="31"/>
      <c r="DM99" s="31"/>
      <c r="DN99" s="31"/>
      <c r="DO99" s="31"/>
      <c r="DP99" s="31"/>
      <c r="DQ99" s="31"/>
      <c r="DR99" s="31"/>
      <c r="DS99" s="31"/>
      <c r="DT99" s="31"/>
      <c r="DU99" s="31"/>
      <c r="DV99" s="31"/>
      <c r="DW99" s="31"/>
      <c r="DX99" s="31"/>
      <c r="DY99" s="31"/>
      <c r="DZ99" s="31"/>
      <c r="EA99" s="31"/>
      <c r="EB99" s="31"/>
      <c r="EC99" s="31"/>
      <c r="ED99" s="31"/>
      <c r="EE99" s="31"/>
      <c r="EF99" s="31"/>
      <c r="EG99" s="31"/>
      <c r="EH99" s="31"/>
      <c r="EI99" s="31"/>
      <c r="EJ99" s="31"/>
      <c r="EK99" s="31"/>
      <c r="EL99" s="31"/>
      <c r="EM99" s="31"/>
      <c r="EN99" s="31"/>
      <c r="EO99" s="31"/>
      <c r="EP99" s="31"/>
      <c r="EQ99" s="31"/>
      <c r="ER99" s="31"/>
      <c r="ES99" s="31"/>
      <c r="ET99" s="31"/>
      <c r="EU99" s="31"/>
      <c r="EV99" s="31"/>
      <c r="EW99" s="31"/>
      <c r="EX99" s="31"/>
      <c r="EY99" s="31"/>
      <c r="EZ99" s="31"/>
      <c r="FA99" s="31"/>
      <c r="FB99" s="31"/>
      <c r="FC99" s="31"/>
      <c r="FD99" s="31"/>
      <c r="FE99" s="31"/>
      <c r="FF99" s="31"/>
      <c r="FG99" s="31"/>
      <c r="FH99" s="31"/>
      <c r="FI99" s="31"/>
      <c r="FJ99" s="31"/>
      <c r="FK99" s="31"/>
      <c r="FL99" s="31"/>
      <c r="FM99" s="31"/>
      <c r="FN99" s="31"/>
      <c r="FO99" s="31"/>
      <c r="FP99" s="31"/>
      <c r="FQ99" s="31"/>
      <c r="FR99" s="31"/>
      <c r="FS99" s="31"/>
      <c r="FT99" s="31"/>
      <c r="FU99" s="31"/>
      <c r="FV99" s="31"/>
      <c r="FW99" s="31"/>
      <c r="FX99" s="31"/>
      <c r="FY99" s="31"/>
      <c r="FZ99" s="31"/>
      <c r="GA99" s="31"/>
      <c r="GB99" s="31"/>
      <c r="GC99" s="31"/>
      <c r="GD99" s="31"/>
      <c r="GE99" s="31"/>
      <c r="GF99" s="31"/>
      <c r="GG99" s="31"/>
      <c r="GH99" s="31"/>
      <c r="GI99" s="31"/>
      <c r="GJ99" s="31"/>
      <c r="GK99" s="31"/>
      <c r="GL99" s="31"/>
      <c r="GM99" s="31"/>
      <c r="GN99" s="31"/>
      <c r="GO99" s="31"/>
      <c r="GP99" s="31"/>
      <c r="GQ99" s="31"/>
      <c r="GR99" s="31"/>
      <c r="GS99" s="31"/>
      <c r="GT99" s="31"/>
      <c r="GU99" s="31"/>
      <c r="GV99" s="31"/>
      <c r="GW99" s="31"/>
      <c r="GX99" s="31"/>
      <c r="GY99" s="31"/>
      <c r="GZ99" s="31"/>
      <c r="HA99" s="31"/>
      <c r="HB99" s="31"/>
      <c r="HC99" s="31"/>
      <c r="HD99" s="31"/>
      <c r="HE99" s="31"/>
      <c r="HF99" s="31"/>
      <c r="HG99" s="31"/>
      <c r="HH99" s="31"/>
      <c r="HI99" s="31"/>
      <c r="HJ99" s="31"/>
      <c r="HK99" s="31"/>
      <c r="HL99" s="31"/>
      <c r="HM99" s="31"/>
      <c r="HN99" s="31"/>
      <c r="HO99" s="31"/>
      <c r="HP99" s="31"/>
      <c r="HQ99" s="31"/>
      <c r="HR99" s="31"/>
      <c r="HS99" s="31"/>
      <c r="HT99" s="31"/>
      <c r="HU99" s="31"/>
      <c r="HV99" s="31"/>
      <c r="HW99" s="31"/>
      <c r="HX99" s="31"/>
      <c r="HY99" s="31"/>
      <c r="HZ99" s="31"/>
    </row>
    <row r="100" spans="1:234" ht="14.25" customHeight="1" x14ac:dyDescent="0.35">
      <c r="A100" s="88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30"/>
      <c r="U100" s="27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  <c r="BS100" s="31"/>
      <c r="BT100" s="31"/>
      <c r="BU100" s="31"/>
      <c r="BV100" s="31"/>
      <c r="BW100" s="31"/>
      <c r="BX100" s="31"/>
      <c r="BY100" s="31"/>
      <c r="BZ100" s="31"/>
      <c r="CA100" s="31"/>
      <c r="CB100" s="31"/>
      <c r="CC100" s="31"/>
      <c r="CD100" s="31"/>
      <c r="CE100" s="31"/>
      <c r="CF100" s="31"/>
      <c r="CG100" s="31"/>
      <c r="CH100" s="31"/>
      <c r="CI100" s="31"/>
      <c r="CJ100" s="31"/>
      <c r="CK100" s="31"/>
      <c r="CL100" s="31"/>
      <c r="CM100" s="31"/>
      <c r="CN100" s="31"/>
      <c r="CO100" s="31"/>
      <c r="CP100" s="31"/>
      <c r="CQ100" s="31"/>
      <c r="CR100" s="31"/>
      <c r="CS100" s="31"/>
      <c r="CT100" s="31"/>
      <c r="CU100" s="31"/>
      <c r="CV100" s="31"/>
      <c r="CW100" s="31"/>
      <c r="CX100" s="31"/>
      <c r="CY100" s="31"/>
      <c r="CZ100" s="31"/>
      <c r="DA100" s="31"/>
      <c r="DB100" s="31"/>
      <c r="DC100" s="31"/>
      <c r="DD100" s="31"/>
      <c r="DE100" s="31"/>
      <c r="DF100" s="31"/>
      <c r="DG100" s="31"/>
      <c r="DH100" s="31"/>
      <c r="DI100" s="31"/>
      <c r="DJ100" s="31"/>
      <c r="DK100" s="31"/>
      <c r="DL100" s="31"/>
      <c r="DM100" s="31"/>
      <c r="DN100" s="31"/>
      <c r="DO100" s="31"/>
      <c r="DP100" s="31"/>
      <c r="DQ100" s="31"/>
      <c r="DR100" s="31"/>
      <c r="DS100" s="31"/>
      <c r="DT100" s="31"/>
      <c r="DU100" s="31"/>
      <c r="DV100" s="31"/>
      <c r="DW100" s="31"/>
      <c r="DX100" s="31"/>
      <c r="DY100" s="31"/>
      <c r="DZ100" s="31"/>
      <c r="EA100" s="31"/>
      <c r="EB100" s="31"/>
      <c r="EC100" s="31"/>
      <c r="ED100" s="31"/>
      <c r="EE100" s="31"/>
      <c r="EF100" s="31"/>
      <c r="EG100" s="31"/>
      <c r="EH100" s="31"/>
      <c r="EI100" s="31"/>
      <c r="EJ100" s="31"/>
      <c r="EK100" s="31"/>
      <c r="EL100" s="31"/>
      <c r="EM100" s="31"/>
      <c r="EN100" s="31"/>
      <c r="EO100" s="31"/>
      <c r="EP100" s="31"/>
      <c r="EQ100" s="31"/>
      <c r="ER100" s="31"/>
      <c r="ES100" s="31"/>
      <c r="ET100" s="31"/>
      <c r="EU100" s="31"/>
      <c r="EV100" s="31"/>
      <c r="EW100" s="31"/>
      <c r="EX100" s="31"/>
      <c r="EY100" s="31"/>
      <c r="EZ100" s="31"/>
      <c r="FA100" s="31"/>
      <c r="FB100" s="31"/>
      <c r="FC100" s="31"/>
      <c r="FD100" s="31"/>
      <c r="FE100" s="31"/>
      <c r="FF100" s="31"/>
      <c r="FG100" s="31"/>
      <c r="FH100" s="31"/>
      <c r="FI100" s="31"/>
      <c r="FJ100" s="31"/>
      <c r="FK100" s="31"/>
      <c r="FL100" s="31"/>
      <c r="FM100" s="31"/>
      <c r="FN100" s="31"/>
      <c r="FO100" s="31"/>
      <c r="FP100" s="31"/>
      <c r="FQ100" s="31"/>
      <c r="FR100" s="31"/>
      <c r="FS100" s="31"/>
      <c r="FT100" s="31"/>
      <c r="FU100" s="31"/>
      <c r="FV100" s="31"/>
      <c r="FW100" s="31"/>
      <c r="FX100" s="31"/>
      <c r="FY100" s="31"/>
      <c r="FZ100" s="31"/>
      <c r="GA100" s="31"/>
      <c r="GB100" s="31"/>
      <c r="GC100" s="31"/>
      <c r="GD100" s="31"/>
      <c r="GE100" s="31"/>
      <c r="GF100" s="31"/>
      <c r="GG100" s="31"/>
      <c r="GH100" s="31"/>
      <c r="GI100" s="31"/>
      <c r="GJ100" s="31"/>
      <c r="GK100" s="31"/>
      <c r="GL100" s="31"/>
      <c r="GM100" s="31"/>
      <c r="GN100" s="31"/>
      <c r="GO100" s="31"/>
      <c r="GP100" s="31"/>
      <c r="GQ100" s="31"/>
      <c r="GR100" s="31"/>
      <c r="GS100" s="31"/>
      <c r="GT100" s="31"/>
      <c r="GU100" s="31"/>
      <c r="GV100" s="31"/>
      <c r="GW100" s="31"/>
      <c r="GX100" s="31"/>
      <c r="GY100" s="31"/>
      <c r="GZ100" s="31"/>
      <c r="HA100" s="31"/>
      <c r="HB100" s="31"/>
      <c r="HC100" s="31"/>
      <c r="HD100" s="31"/>
      <c r="HE100" s="31"/>
      <c r="HF100" s="31"/>
      <c r="HG100" s="31"/>
      <c r="HH100" s="31"/>
      <c r="HI100" s="31"/>
      <c r="HJ100" s="31"/>
      <c r="HK100" s="31"/>
      <c r="HL100" s="31"/>
      <c r="HM100" s="31"/>
      <c r="HN100" s="31"/>
      <c r="HO100" s="31"/>
      <c r="HP100" s="31"/>
      <c r="HQ100" s="31"/>
      <c r="HR100" s="31"/>
      <c r="HS100" s="31"/>
      <c r="HT100" s="31"/>
      <c r="HU100" s="31"/>
      <c r="HV100" s="31"/>
      <c r="HW100" s="31"/>
      <c r="HX100" s="31"/>
      <c r="HY100" s="31"/>
      <c r="HZ100" s="31"/>
    </row>
    <row r="101" spans="1:234" ht="14.25" customHeight="1" x14ac:dyDescent="0.35">
      <c r="A101" s="88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30"/>
      <c r="U101" s="27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  <c r="BS101" s="31"/>
      <c r="BT101" s="31"/>
      <c r="BU101" s="31"/>
      <c r="BV101" s="31"/>
      <c r="BW101" s="31"/>
      <c r="BX101" s="31"/>
      <c r="BY101" s="31"/>
      <c r="BZ101" s="31"/>
      <c r="CA101" s="31"/>
      <c r="CB101" s="31"/>
      <c r="CC101" s="31"/>
      <c r="CD101" s="31"/>
      <c r="CE101" s="31"/>
      <c r="CF101" s="31"/>
      <c r="CG101" s="31"/>
      <c r="CH101" s="31"/>
      <c r="CI101" s="31"/>
      <c r="CJ101" s="31"/>
      <c r="CK101" s="31"/>
      <c r="CL101" s="31"/>
      <c r="CM101" s="31"/>
      <c r="CN101" s="31"/>
      <c r="CO101" s="31"/>
      <c r="CP101" s="31"/>
      <c r="CQ101" s="31"/>
      <c r="CR101" s="31"/>
      <c r="CS101" s="31"/>
      <c r="CT101" s="31"/>
      <c r="CU101" s="31"/>
      <c r="CV101" s="31"/>
      <c r="CW101" s="31"/>
      <c r="CX101" s="31"/>
      <c r="CY101" s="31"/>
      <c r="CZ101" s="31"/>
      <c r="DA101" s="31"/>
      <c r="DB101" s="31"/>
      <c r="DC101" s="31"/>
      <c r="DD101" s="31"/>
      <c r="DE101" s="31"/>
      <c r="DF101" s="31"/>
      <c r="DG101" s="31"/>
      <c r="DH101" s="31"/>
      <c r="DI101" s="31"/>
      <c r="DJ101" s="31"/>
      <c r="DK101" s="31"/>
      <c r="DL101" s="31"/>
      <c r="DM101" s="31"/>
      <c r="DN101" s="31"/>
      <c r="DO101" s="31"/>
      <c r="DP101" s="31"/>
      <c r="DQ101" s="31"/>
      <c r="DR101" s="31"/>
      <c r="DS101" s="31"/>
      <c r="DT101" s="31"/>
      <c r="DU101" s="31"/>
      <c r="DV101" s="31"/>
      <c r="DW101" s="31"/>
      <c r="DX101" s="31"/>
      <c r="DY101" s="31"/>
      <c r="DZ101" s="31"/>
      <c r="EA101" s="31"/>
      <c r="EB101" s="31"/>
      <c r="EC101" s="31"/>
      <c r="ED101" s="31"/>
      <c r="EE101" s="31"/>
      <c r="EF101" s="31"/>
      <c r="EG101" s="31"/>
      <c r="EH101" s="31"/>
      <c r="EI101" s="31"/>
      <c r="EJ101" s="31"/>
      <c r="EK101" s="31"/>
      <c r="EL101" s="31"/>
      <c r="EM101" s="31"/>
      <c r="EN101" s="31"/>
      <c r="EO101" s="31"/>
      <c r="EP101" s="31"/>
      <c r="EQ101" s="31"/>
      <c r="ER101" s="31"/>
      <c r="ES101" s="31"/>
      <c r="ET101" s="31"/>
      <c r="EU101" s="31"/>
      <c r="EV101" s="31"/>
      <c r="EW101" s="31"/>
      <c r="EX101" s="31"/>
      <c r="EY101" s="31"/>
      <c r="EZ101" s="31"/>
      <c r="FA101" s="31"/>
      <c r="FB101" s="31"/>
      <c r="FC101" s="31"/>
      <c r="FD101" s="31"/>
      <c r="FE101" s="31"/>
      <c r="FF101" s="31"/>
      <c r="FG101" s="31"/>
      <c r="FH101" s="31"/>
      <c r="FI101" s="31"/>
      <c r="FJ101" s="31"/>
      <c r="FK101" s="31"/>
      <c r="FL101" s="31"/>
      <c r="FM101" s="31"/>
      <c r="FN101" s="31"/>
      <c r="FO101" s="31"/>
      <c r="FP101" s="31"/>
      <c r="FQ101" s="31"/>
      <c r="FR101" s="31"/>
      <c r="FS101" s="31"/>
      <c r="FT101" s="31"/>
      <c r="FU101" s="31"/>
      <c r="FV101" s="31"/>
      <c r="FW101" s="31"/>
      <c r="FX101" s="31"/>
      <c r="FY101" s="31"/>
      <c r="FZ101" s="31"/>
      <c r="GA101" s="31"/>
      <c r="GB101" s="31"/>
      <c r="GC101" s="31"/>
      <c r="GD101" s="31"/>
      <c r="GE101" s="31"/>
      <c r="GF101" s="31"/>
      <c r="GG101" s="31"/>
      <c r="GH101" s="31"/>
      <c r="GI101" s="31"/>
      <c r="GJ101" s="31"/>
      <c r="GK101" s="31"/>
      <c r="GL101" s="31"/>
      <c r="GM101" s="31"/>
      <c r="GN101" s="31"/>
      <c r="GO101" s="31"/>
      <c r="GP101" s="31"/>
      <c r="GQ101" s="31"/>
      <c r="GR101" s="31"/>
      <c r="GS101" s="31"/>
      <c r="GT101" s="31"/>
      <c r="GU101" s="31"/>
      <c r="GV101" s="31"/>
      <c r="GW101" s="31"/>
      <c r="GX101" s="31"/>
      <c r="GY101" s="31"/>
      <c r="GZ101" s="31"/>
      <c r="HA101" s="31"/>
      <c r="HB101" s="31"/>
      <c r="HC101" s="31"/>
      <c r="HD101" s="31"/>
      <c r="HE101" s="31"/>
      <c r="HF101" s="31"/>
      <c r="HG101" s="31"/>
      <c r="HH101" s="31"/>
      <c r="HI101" s="31"/>
      <c r="HJ101" s="31"/>
      <c r="HK101" s="31"/>
      <c r="HL101" s="31"/>
      <c r="HM101" s="31"/>
      <c r="HN101" s="31"/>
      <c r="HO101" s="31"/>
      <c r="HP101" s="31"/>
      <c r="HQ101" s="31"/>
      <c r="HR101" s="31"/>
      <c r="HS101" s="31"/>
      <c r="HT101" s="31"/>
      <c r="HU101" s="31"/>
      <c r="HV101" s="31"/>
      <c r="HW101" s="31"/>
      <c r="HX101" s="31"/>
      <c r="HY101" s="31"/>
      <c r="HZ101" s="31"/>
    </row>
    <row r="102" spans="1:234" ht="14.25" customHeight="1" x14ac:dyDescent="0.35">
      <c r="A102" s="88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30"/>
      <c r="U102" s="27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  <c r="BS102" s="31"/>
      <c r="BT102" s="31"/>
      <c r="BU102" s="31"/>
      <c r="BV102" s="31"/>
      <c r="BW102" s="31"/>
      <c r="BX102" s="31"/>
      <c r="BY102" s="31"/>
      <c r="BZ102" s="31"/>
      <c r="CA102" s="31"/>
      <c r="CB102" s="31"/>
      <c r="CC102" s="31"/>
      <c r="CD102" s="31"/>
      <c r="CE102" s="31"/>
      <c r="CF102" s="31"/>
      <c r="CG102" s="31"/>
      <c r="CH102" s="31"/>
      <c r="CI102" s="31"/>
      <c r="CJ102" s="31"/>
      <c r="CK102" s="31"/>
      <c r="CL102" s="31"/>
      <c r="CM102" s="31"/>
      <c r="CN102" s="31"/>
      <c r="CO102" s="31"/>
      <c r="CP102" s="31"/>
      <c r="CQ102" s="31"/>
      <c r="CR102" s="31"/>
      <c r="CS102" s="31"/>
      <c r="CT102" s="31"/>
      <c r="CU102" s="31"/>
      <c r="CV102" s="31"/>
      <c r="CW102" s="31"/>
      <c r="CX102" s="31"/>
      <c r="CY102" s="31"/>
      <c r="CZ102" s="31"/>
      <c r="DA102" s="31"/>
      <c r="DB102" s="31"/>
      <c r="DC102" s="31"/>
      <c r="DD102" s="31"/>
      <c r="DE102" s="31"/>
      <c r="DF102" s="31"/>
      <c r="DG102" s="31"/>
      <c r="DH102" s="31"/>
      <c r="DI102" s="31"/>
      <c r="DJ102" s="31"/>
      <c r="DK102" s="31"/>
      <c r="DL102" s="31"/>
      <c r="DM102" s="31"/>
      <c r="DN102" s="31"/>
      <c r="DO102" s="31"/>
      <c r="DP102" s="31"/>
      <c r="DQ102" s="31"/>
      <c r="DR102" s="31"/>
      <c r="DS102" s="31"/>
      <c r="DT102" s="31"/>
      <c r="DU102" s="31"/>
      <c r="DV102" s="31"/>
      <c r="DW102" s="31"/>
      <c r="DX102" s="31"/>
      <c r="DY102" s="31"/>
      <c r="DZ102" s="31"/>
      <c r="EA102" s="31"/>
      <c r="EB102" s="31"/>
      <c r="EC102" s="31"/>
      <c r="ED102" s="31"/>
      <c r="EE102" s="31"/>
      <c r="EF102" s="31"/>
      <c r="EG102" s="31"/>
      <c r="EH102" s="31"/>
      <c r="EI102" s="31"/>
      <c r="EJ102" s="31"/>
      <c r="EK102" s="31"/>
      <c r="EL102" s="31"/>
      <c r="EM102" s="31"/>
      <c r="EN102" s="31"/>
      <c r="EO102" s="31"/>
      <c r="EP102" s="31"/>
      <c r="EQ102" s="31"/>
      <c r="ER102" s="31"/>
      <c r="ES102" s="31"/>
      <c r="ET102" s="31"/>
      <c r="EU102" s="31"/>
      <c r="EV102" s="31"/>
      <c r="EW102" s="31"/>
      <c r="EX102" s="31"/>
      <c r="EY102" s="31"/>
      <c r="EZ102" s="31"/>
      <c r="FA102" s="31"/>
      <c r="FB102" s="31"/>
      <c r="FC102" s="31"/>
      <c r="FD102" s="31"/>
      <c r="FE102" s="31"/>
      <c r="FF102" s="31"/>
      <c r="FG102" s="31"/>
      <c r="FH102" s="31"/>
      <c r="FI102" s="31"/>
      <c r="FJ102" s="31"/>
      <c r="FK102" s="31"/>
      <c r="FL102" s="31"/>
      <c r="FM102" s="31"/>
      <c r="FN102" s="31"/>
      <c r="FO102" s="31"/>
      <c r="FP102" s="31"/>
      <c r="FQ102" s="31"/>
      <c r="FR102" s="31"/>
      <c r="FS102" s="31"/>
      <c r="FT102" s="31"/>
      <c r="FU102" s="31"/>
      <c r="FV102" s="31"/>
      <c r="FW102" s="31"/>
      <c r="FX102" s="31"/>
      <c r="FY102" s="31"/>
      <c r="FZ102" s="31"/>
      <c r="GA102" s="31"/>
      <c r="GB102" s="31"/>
      <c r="GC102" s="31"/>
      <c r="GD102" s="31"/>
      <c r="GE102" s="31"/>
      <c r="GF102" s="31"/>
      <c r="GG102" s="31"/>
      <c r="GH102" s="31"/>
      <c r="GI102" s="31"/>
      <c r="GJ102" s="31"/>
      <c r="GK102" s="31"/>
      <c r="GL102" s="31"/>
      <c r="GM102" s="31"/>
      <c r="GN102" s="31"/>
      <c r="GO102" s="31"/>
      <c r="GP102" s="31"/>
      <c r="GQ102" s="31"/>
      <c r="GR102" s="31"/>
      <c r="GS102" s="31"/>
      <c r="GT102" s="31"/>
      <c r="GU102" s="31"/>
      <c r="GV102" s="31"/>
      <c r="GW102" s="31"/>
      <c r="GX102" s="31"/>
      <c r="GY102" s="31"/>
      <c r="GZ102" s="31"/>
      <c r="HA102" s="31"/>
      <c r="HB102" s="31"/>
      <c r="HC102" s="31"/>
      <c r="HD102" s="31"/>
      <c r="HE102" s="31"/>
      <c r="HF102" s="31"/>
      <c r="HG102" s="31"/>
      <c r="HH102" s="31"/>
      <c r="HI102" s="31"/>
      <c r="HJ102" s="31"/>
      <c r="HK102" s="31"/>
      <c r="HL102" s="31"/>
      <c r="HM102" s="31"/>
      <c r="HN102" s="31"/>
      <c r="HO102" s="31"/>
      <c r="HP102" s="31"/>
      <c r="HQ102" s="31"/>
      <c r="HR102" s="31"/>
      <c r="HS102" s="31"/>
      <c r="HT102" s="31"/>
      <c r="HU102" s="31"/>
      <c r="HV102" s="31"/>
      <c r="HW102" s="31"/>
      <c r="HX102" s="31"/>
      <c r="HY102" s="31"/>
      <c r="HZ102" s="31"/>
    </row>
    <row r="103" spans="1:234" ht="14.25" customHeight="1" x14ac:dyDescent="0.35">
      <c r="A103" s="88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30"/>
      <c r="U103" s="27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  <c r="BS103" s="31"/>
      <c r="BT103" s="31"/>
      <c r="BU103" s="31"/>
      <c r="BV103" s="31"/>
      <c r="BW103" s="31"/>
      <c r="BX103" s="31"/>
      <c r="BY103" s="31"/>
      <c r="BZ103" s="31"/>
      <c r="CA103" s="31"/>
      <c r="CB103" s="31"/>
      <c r="CC103" s="31"/>
      <c r="CD103" s="31"/>
      <c r="CE103" s="31"/>
      <c r="CF103" s="31"/>
      <c r="CG103" s="31"/>
      <c r="CH103" s="31"/>
      <c r="CI103" s="31"/>
      <c r="CJ103" s="31"/>
      <c r="CK103" s="31"/>
      <c r="CL103" s="31"/>
      <c r="CM103" s="31"/>
      <c r="CN103" s="31"/>
      <c r="CO103" s="31"/>
      <c r="CP103" s="31"/>
      <c r="CQ103" s="31"/>
      <c r="CR103" s="31"/>
      <c r="CS103" s="31"/>
      <c r="CT103" s="31"/>
      <c r="CU103" s="31"/>
      <c r="CV103" s="31"/>
      <c r="CW103" s="31"/>
      <c r="CX103" s="31"/>
      <c r="CY103" s="31"/>
      <c r="CZ103" s="31"/>
      <c r="DA103" s="31"/>
      <c r="DB103" s="31"/>
      <c r="DC103" s="31"/>
      <c r="DD103" s="31"/>
      <c r="DE103" s="31"/>
      <c r="DF103" s="31"/>
      <c r="DG103" s="31"/>
      <c r="DH103" s="31"/>
      <c r="DI103" s="31"/>
      <c r="DJ103" s="31"/>
      <c r="DK103" s="31"/>
      <c r="DL103" s="31"/>
      <c r="DM103" s="31"/>
      <c r="DN103" s="31"/>
      <c r="DO103" s="31"/>
      <c r="DP103" s="31"/>
      <c r="DQ103" s="31"/>
      <c r="DR103" s="31"/>
      <c r="DS103" s="31"/>
      <c r="DT103" s="31"/>
      <c r="DU103" s="31"/>
      <c r="DV103" s="31"/>
      <c r="DW103" s="31"/>
      <c r="DX103" s="31"/>
      <c r="DY103" s="31"/>
      <c r="DZ103" s="31"/>
      <c r="EA103" s="31"/>
      <c r="EB103" s="31"/>
      <c r="EC103" s="31"/>
      <c r="ED103" s="31"/>
      <c r="EE103" s="31"/>
      <c r="EF103" s="31"/>
      <c r="EG103" s="31"/>
      <c r="EH103" s="31"/>
      <c r="EI103" s="31"/>
      <c r="EJ103" s="31"/>
      <c r="EK103" s="31"/>
      <c r="EL103" s="31"/>
      <c r="EM103" s="31"/>
      <c r="EN103" s="31"/>
      <c r="EO103" s="31"/>
      <c r="EP103" s="31"/>
      <c r="EQ103" s="31"/>
      <c r="ER103" s="31"/>
      <c r="ES103" s="31"/>
      <c r="ET103" s="31"/>
      <c r="EU103" s="31"/>
      <c r="EV103" s="31"/>
      <c r="EW103" s="31"/>
      <c r="EX103" s="31"/>
      <c r="EY103" s="31"/>
      <c r="EZ103" s="31"/>
      <c r="FA103" s="31"/>
      <c r="FB103" s="31"/>
      <c r="FC103" s="31"/>
      <c r="FD103" s="31"/>
      <c r="FE103" s="31"/>
      <c r="FF103" s="31"/>
      <c r="FG103" s="31"/>
      <c r="FH103" s="31"/>
      <c r="FI103" s="31"/>
      <c r="FJ103" s="31"/>
      <c r="FK103" s="31"/>
      <c r="FL103" s="31"/>
      <c r="FM103" s="31"/>
      <c r="FN103" s="31"/>
      <c r="FO103" s="31"/>
      <c r="FP103" s="31"/>
      <c r="FQ103" s="31"/>
      <c r="FR103" s="31"/>
      <c r="FS103" s="31"/>
      <c r="FT103" s="31"/>
      <c r="FU103" s="31"/>
      <c r="FV103" s="31"/>
      <c r="FW103" s="31"/>
      <c r="FX103" s="31"/>
      <c r="FY103" s="31"/>
      <c r="FZ103" s="31"/>
      <c r="GA103" s="31"/>
      <c r="GB103" s="31"/>
      <c r="GC103" s="31"/>
      <c r="GD103" s="31"/>
      <c r="GE103" s="31"/>
      <c r="GF103" s="31"/>
      <c r="GG103" s="31"/>
      <c r="GH103" s="31"/>
      <c r="GI103" s="31"/>
      <c r="GJ103" s="31"/>
      <c r="GK103" s="31"/>
      <c r="GL103" s="31"/>
      <c r="GM103" s="31"/>
      <c r="GN103" s="31"/>
      <c r="GO103" s="31"/>
      <c r="GP103" s="31"/>
      <c r="GQ103" s="31"/>
      <c r="GR103" s="31"/>
      <c r="GS103" s="31"/>
      <c r="GT103" s="31"/>
      <c r="GU103" s="31"/>
      <c r="GV103" s="31"/>
      <c r="GW103" s="31"/>
      <c r="GX103" s="31"/>
      <c r="GY103" s="31"/>
      <c r="GZ103" s="31"/>
      <c r="HA103" s="31"/>
      <c r="HB103" s="31"/>
      <c r="HC103" s="31"/>
      <c r="HD103" s="31"/>
      <c r="HE103" s="31"/>
      <c r="HF103" s="31"/>
      <c r="HG103" s="31"/>
      <c r="HH103" s="31"/>
      <c r="HI103" s="31"/>
      <c r="HJ103" s="31"/>
      <c r="HK103" s="31"/>
      <c r="HL103" s="31"/>
      <c r="HM103" s="31"/>
      <c r="HN103" s="31"/>
      <c r="HO103" s="31"/>
      <c r="HP103" s="31"/>
      <c r="HQ103" s="31"/>
      <c r="HR103" s="31"/>
      <c r="HS103" s="31"/>
      <c r="HT103" s="31"/>
      <c r="HU103" s="31"/>
      <c r="HV103" s="31"/>
      <c r="HW103" s="31"/>
      <c r="HX103" s="31"/>
      <c r="HY103" s="31"/>
      <c r="HZ103" s="31"/>
    </row>
    <row r="104" spans="1:234" ht="14.25" customHeight="1" x14ac:dyDescent="0.35">
      <c r="A104" s="88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30"/>
      <c r="U104" s="27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  <c r="BS104" s="31"/>
      <c r="BT104" s="31"/>
      <c r="BU104" s="31"/>
      <c r="BV104" s="31"/>
      <c r="BW104" s="31"/>
      <c r="BX104" s="31"/>
      <c r="BY104" s="31"/>
      <c r="BZ104" s="31"/>
      <c r="CA104" s="31"/>
      <c r="CB104" s="31"/>
      <c r="CC104" s="31"/>
      <c r="CD104" s="31"/>
      <c r="CE104" s="31"/>
      <c r="CF104" s="31"/>
      <c r="CG104" s="31"/>
      <c r="CH104" s="31"/>
      <c r="CI104" s="31"/>
      <c r="CJ104" s="31"/>
      <c r="CK104" s="31"/>
      <c r="CL104" s="31"/>
      <c r="CM104" s="31"/>
      <c r="CN104" s="31"/>
      <c r="CO104" s="31"/>
      <c r="CP104" s="31"/>
      <c r="CQ104" s="31"/>
      <c r="CR104" s="31"/>
      <c r="CS104" s="31"/>
      <c r="CT104" s="31"/>
      <c r="CU104" s="31"/>
      <c r="CV104" s="31"/>
      <c r="CW104" s="31"/>
      <c r="CX104" s="31"/>
      <c r="CY104" s="31"/>
      <c r="CZ104" s="31"/>
      <c r="DA104" s="31"/>
      <c r="DB104" s="31"/>
      <c r="DC104" s="31"/>
      <c r="DD104" s="31"/>
      <c r="DE104" s="31"/>
      <c r="DF104" s="31"/>
      <c r="DG104" s="31"/>
      <c r="DH104" s="31"/>
      <c r="DI104" s="31"/>
      <c r="DJ104" s="31"/>
      <c r="DK104" s="31"/>
      <c r="DL104" s="31"/>
      <c r="DM104" s="31"/>
      <c r="DN104" s="31"/>
      <c r="DO104" s="31"/>
      <c r="DP104" s="31"/>
      <c r="DQ104" s="31"/>
      <c r="DR104" s="31"/>
      <c r="DS104" s="31"/>
      <c r="DT104" s="31"/>
      <c r="DU104" s="31"/>
      <c r="DV104" s="31"/>
      <c r="DW104" s="31"/>
      <c r="DX104" s="31"/>
      <c r="DY104" s="31"/>
      <c r="DZ104" s="31"/>
      <c r="EA104" s="31"/>
      <c r="EB104" s="31"/>
      <c r="EC104" s="31"/>
      <c r="ED104" s="31"/>
      <c r="EE104" s="31"/>
      <c r="EF104" s="31"/>
      <c r="EG104" s="31"/>
      <c r="EH104" s="31"/>
      <c r="EI104" s="31"/>
      <c r="EJ104" s="31"/>
      <c r="EK104" s="31"/>
      <c r="EL104" s="31"/>
      <c r="EM104" s="31"/>
      <c r="EN104" s="31"/>
      <c r="EO104" s="31"/>
      <c r="EP104" s="31"/>
      <c r="EQ104" s="31"/>
      <c r="ER104" s="31"/>
      <c r="ES104" s="31"/>
      <c r="ET104" s="31"/>
      <c r="EU104" s="31"/>
      <c r="EV104" s="31"/>
      <c r="EW104" s="31"/>
      <c r="EX104" s="31"/>
      <c r="EY104" s="31"/>
      <c r="EZ104" s="31"/>
      <c r="FA104" s="31"/>
      <c r="FB104" s="31"/>
      <c r="FC104" s="31"/>
      <c r="FD104" s="31"/>
      <c r="FE104" s="31"/>
      <c r="FF104" s="31"/>
      <c r="FG104" s="31"/>
      <c r="FH104" s="31"/>
      <c r="FI104" s="31"/>
      <c r="FJ104" s="31"/>
      <c r="FK104" s="31"/>
      <c r="FL104" s="31"/>
      <c r="FM104" s="31"/>
      <c r="FN104" s="31"/>
      <c r="FO104" s="31"/>
      <c r="FP104" s="31"/>
      <c r="FQ104" s="31"/>
      <c r="FR104" s="31"/>
      <c r="FS104" s="31"/>
      <c r="FT104" s="31"/>
      <c r="FU104" s="31"/>
      <c r="FV104" s="31"/>
      <c r="FW104" s="31"/>
      <c r="FX104" s="31"/>
      <c r="FY104" s="31"/>
      <c r="FZ104" s="31"/>
      <c r="GA104" s="31"/>
      <c r="GB104" s="31"/>
      <c r="GC104" s="31"/>
      <c r="GD104" s="31"/>
      <c r="GE104" s="31"/>
      <c r="GF104" s="31"/>
      <c r="GG104" s="31"/>
      <c r="GH104" s="31"/>
      <c r="GI104" s="31"/>
      <c r="GJ104" s="31"/>
      <c r="GK104" s="31"/>
      <c r="GL104" s="31"/>
      <c r="GM104" s="31"/>
      <c r="GN104" s="31"/>
      <c r="GO104" s="31"/>
      <c r="GP104" s="31"/>
      <c r="GQ104" s="31"/>
      <c r="GR104" s="31"/>
      <c r="GS104" s="31"/>
      <c r="GT104" s="31"/>
      <c r="GU104" s="31"/>
      <c r="GV104" s="31"/>
      <c r="GW104" s="31"/>
      <c r="GX104" s="31"/>
      <c r="GY104" s="31"/>
      <c r="GZ104" s="31"/>
      <c r="HA104" s="31"/>
      <c r="HB104" s="31"/>
      <c r="HC104" s="31"/>
      <c r="HD104" s="31"/>
      <c r="HE104" s="31"/>
      <c r="HF104" s="31"/>
      <c r="HG104" s="31"/>
      <c r="HH104" s="31"/>
      <c r="HI104" s="31"/>
      <c r="HJ104" s="31"/>
      <c r="HK104" s="31"/>
      <c r="HL104" s="31"/>
      <c r="HM104" s="31"/>
      <c r="HN104" s="31"/>
      <c r="HO104" s="31"/>
      <c r="HP104" s="31"/>
      <c r="HQ104" s="31"/>
      <c r="HR104" s="31"/>
      <c r="HS104" s="31"/>
      <c r="HT104" s="31"/>
      <c r="HU104" s="31"/>
      <c r="HV104" s="31"/>
      <c r="HW104" s="31"/>
      <c r="HX104" s="31"/>
      <c r="HY104" s="31"/>
      <c r="HZ104" s="31"/>
    </row>
    <row r="105" spans="1:234" ht="14.25" customHeight="1" x14ac:dyDescent="0.35">
      <c r="A105" s="88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30"/>
      <c r="U105" s="27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  <c r="BS105" s="31"/>
      <c r="BT105" s="31"/>
      <c r="BU105" s="31"/>
      <c r="BV105" s="31"/>
      <c r="BW105" s="31"/>
      <c r="BX105" s="31"/>
      <c r="BY105" s="31"/>
      <c r="BZ105" s="31"/>
      <c r="CA105" s="31"/>
      <c r="CB105" s="31"/>
      <c r="CC105" s="31"/>
      <c r="CD105" s="31"/>
      <c r="CE105" s="31"/>
      <c r="CF105" s="31"/>
      <c r="CG105" s="31"/>
      <c r="CH105" s="31"/>
      <c r="CI105" s="31"/>
      <c r="CJ105" s="31"/>
      <c r="CK105" s="31"/>
      <c r="CL105" s="31"/>
      <c r="CM105" s="31"/>
      <c r="CN105" s="31"/>
      <c r="CO105" s="31"/>
      <c r="CP105" s="31"/>
      <c r="CQ105" s="31"/>
      <c r="CR105" s="31"/>
      <c r="CS105" s="31"/>
      <c r="CT105" s="31"/>
      <c r="CU105" s="31"/>
      <c r="CV105" s="31"/>
      <c r="CW105" s="31"/>
      <c r="CX105" s="31"/>
      <c r="CY105" s="31"/>
      <c r="CZ105" s="31"/>
      <c r="DA105" s="31"/>
      <c r="DB105" s="31"/>
      <c r="DC105" s="31"/>
      <c r="DD105" s="31"/>
      <c r="DE105" s="31"/>
      <c r="DF105" s="31"/>
      <c r="DG105" s="31"/>
      <c r="DH105" s="31"/>
      <c r="DI105" s="31"/>
      <c r="DJ105" s="31"/>
      <c r="DK105" s="31"/>
      <c r="DL105" s="31"/>
      <c r="DM105" s="31"/>
      <c r="DN105" s="31"/>
      <c r="DO105" s="31"/>
      <c r="DP105" s="31"/>
      <c r="DQ105" s="31"/>
      <c r="DR105" s="31"/>
      <c r="DS105" s="31"/>
      <c r="DT105" s="31"/>
      <c r="DU105" s="31"/>
      <c r="DV105" s="31"/>
      <c r="DW105" s="31"/>
      <c r="DX105" s="31"/>
      <c r="DY105" s="31"/>
      <c r="DZ105" s="31"/>
      <c r="EA105" s="31"/>
      <c r="EB105" s="31"/>
      <c r="EC105" s="31"/>
      <c r="ED105" s="31"/>
      <c r="EE105" s="31"/>
      <c r="EF105" s="31"/>
      <c r="EG105" s="31"/>
      <c r="EH105" s="31"/>
      <c r="EI105" s="31"/>
      <c r="EJ105" s="31"/>
      <c r="EK105" s="31"/>
      <c r="EL105" s="31"/>
      <c r="EM105" s="31"/>
      <c r="EN105" s="31"/>
      <c r="EO105" s="31"/>
      <c r="EP105" s="31"/>
      <c r="EQ105" s="31"/>
      <c r="ER105" s="31"/>
      <c r="ES105" s="31"/>
      <c r="ET105" s="31"/>
      <c r="EU105" s="31"/>
      <c r="EV105" s="31"/>
      <c r="EW105" s="31"/>
      <c r="EX105" s="31"/>
      <c r="EY105" s="31"/>
      <c r="EZ105" s="31"/>
      <c r="FA105" s="31"/>
      <c r="FB105" s="31"/>
      <c r="FC105" s="31"/>
      <c r="FD105" s="31"/>
      <c r="FE105" s="31"/>
      <c r="FF105" s="31"/>
      <c r="FG105" s="31"/>
      <c r="FH105" s="31"/>
      <c r="FI105" s="31"/>
      <c r="FJ105" s="31"/>
      <c r="FK105" s="31"/>
      <c r="FL105" s="31"/>
      <c r="FM105" s="31"/>
      <c r="FN105" s="31"/>
      <c r="FO105" s="31"/>
      <c r="FP105" s="31"/>
      <c r="FQ105" s="31"/>
      <c r="FR105" s="31"/>
      <c r="FS105" s="31"/>
      <c r="FT105" s="31"/>
      <c r="FU105" s="31"/>
      <c r="FV105" s="31"/>
      <c r="FW105" s="31"/>
      <c r="FX105" s="31"/>
      <c r="FY105" s="31"/>
      <c r="FZ105" s="31"/>
      <c r="GA105" s="31"/>
      <c r="GB105" s="31"/>
      <c r="GC105" s="31"/>
      <c r="GD105" s="31"/>
      <c r="GE105" s="31"/>
      <c r="GF105" s="31"/>
      <c r="GG105" s="31"/>
      <c r="GH105" s="31"/>
      <c r="GI105" s="31"/>
      <c r="GJ105" s="31"/>
      <c r="GK105" s="31"/>
      <c r="GL105" s="31"/>
      <c r="GM105" s="31"/>
      <c r="GN105" s="31"/>
      <c r="GO105" s="31"/>
      <c r="GP105" s="31"/>
      <c r="GQ105" s="31"/>
      <c r="GR105" s="31"/>
      <c r="GS105" s="31"/>
      <c r="GT105" s="31"/>
      <c r="GU105" s="31"/>
      <c r="GV105" s="31"/>
      <c r="GW105" s="31"/>
      <c r="GX105" s="31"/>
      <c r="GY105" s="31"/>
      <c r="GZ105" s="31"/>
      <c r="HA105" s="31"/>
      <c r="HB105" s="31"/>
      <c r="HC105" s="31"/>
      <c r="HD105" s="31"/>
      <c r="HE105" s="31"/>
      <c r="HF105" s="31"/>
      <c r="HG105" s="31"/>
      <c r="HH105" s="31"/>
      <c r="HI105" s="31"/>
      <c r="HJ105" s="31"/>
      <c r="HK105" s="31"/>
      <c r="HL105" s="31"/>
      <c r="HM105" s="31"/>
      <c r="HN105" s="31"/>
      <c r="HO105" s="31"/>
      <c r="HP105" s="31"/>
      <c r="HQ105" s="31"/>
      <c r="HR105" s="31"/>
      <c r="HS105" s="31"/>
      <c r="HT105" s="31"/>
      <c r="HU105" s="31"/>
      <c r="HV105" s="31"/>
      <c r="HW105" s="31"/>
      <c r="HX105" s="31"/>
      <c r="HY105" s="31"/>
      <c r="HZ105" s="31"/>
    </row>
    <row r="106" spans="1:234" ht="14.25" customHeight="1" x14ac:dyDescent="0.35">
      <c r="A106" s="88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30"/>
      <c r="U106" s="27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31"/>
      <c r="BH106" s="31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  <c r="BS106" s="31"/>
      <c r="BT106" s="31"/>
      <c r="BU106" s="31"/>
      <c r="BV106" s="31"/>
      <c r="BW106" s="31"/>
      <c r="BX106" s="31"/>
      <c r="BY106" s="31"/>
      <c r="BZ106" s="31"/>
      <c r="CA106" s="31"/>
      <c r="CB106" s="31"/>
      <c r="CC106" s="31"/>
      <c r="CD106" s="31"/>
      <c r="CE106" s="31"/>
      <c r="CF106" s="31"/>
      <c r="CG106" s="31"/>
      <c r="CH106" s="31"/>
      <c r="CI106" s="31"/>
      <c r="CJ106" s="31"/>
      <c r="CK106" s="31"/>
      <c r="CL106" s="31"/>
      <c r="CM106" s="31"/>
      <c r="CN106" s="31"/>
      <c r="CO106" s="31"/>
      <c r="CP106" s="31"/>
      <c r="CQ106" s="31"/>
      <c r="CR106" s="31"/>
      <c r="CS106" s="31"/>
      <c r="CT106" s="31"/>
      <c r="CU106" s="31"/>
      <c r="CV106" s="31"/>
      <c r="CW106" s="31"/>
      <c r="CX106" s="31"/>
      <c r="CY106" s="31"/>
      <c r="CZ106" s="31"/>
      <c r="DA106" s="31"/>
      <c r="DB106" s="31"/>
      <c r="DC106" s="31"/>
      <c r="DD106" s="31"/>
      <c r="DE106" s="31"/>
      <c r="DF106" s="31"/>
      <c r="DG106" s="31"/>
      <c r="DH106" s="31"/>
      <c r="DI106" s="31"/>
      <c r="DJ106" s="31"/>
      <c r="DK106" s="31"/>
      <c r="DL106" s="31"/>
      <c r="DM106" s="31"/>
      <c r="DN106" s="31"/>
      <c r="DO106" s="31"/>
      <c r="DP106" s="31"/>
      <c r="DQ106" s="31"/>
      <c r="DR106" s="31"/>
      <c r="DS106" s="31"/>
      <c r="DT106" s="31"/>
      <c r="DU106" s="31"/>
      <c r="DV106" s="31"/>
      <c r="DW106" s="31"/>
      <c r="DX106" s="31"/>
      <c r="DY106" s="31"/>
      <c r="DZ106" s="31"/>
      <c r="EA106" s="31"/>
      <c r="EB106" s="31"/>
      <c r="EC106" s="31"/>
      <c r="ED106" s="31"/>
      <c r="EE106" s="31"/>
      <c r="EF106" s="31"/>
      <c r="EG106" s="31"/>
      <c r="EH106" s="31"/>
      <c r="EI106" s="31"/>
      <c r="EJ106" s="31"/>
      <c r="EK106" s="31"/>
      <c r="EL106" s="31"/>
      <c r="EM106" s="31"/>
      <c r="EN106" s="31"/>
      <c r="EO106" s="31"/>
      <c r="EP106" s="31"/>
      <c r="EQ106" s="31"/>
      <c r="ER106" s="31"/>
      <c r="ES106" s="31"/>
      <c r="ET106" s="31"/>
      <c r="EU106" s="31"/>
      <c r="EV106" s="31"/>
      <c r="EW106" s="31"/>
      <c r="EX106" s="31"/>
      <c r="EY106" s="31"/>
      <c r="EZ106" s="31"/>
      <c r="FA106" s="31"/>
      <c r="FB106" s="31"/>
      <c r="FC106" s="31"/>
      <c r="FD106" s="31"/>
      <c r="FE106" s="31"/>
      <c r="FF106" s="31"/>
      <c r="FG106" s="31"/>
      <c r="FH106" s="31"/>
      <c r="FI106" s="31"/>
      <c r="FJ106" s="31"/>
      <c r="FK106" s="31"/>
      <c r="FL106" s="31"/>
      <c r="FM106" s="31"/>
      <c r="FN106" s="31"/>
      <c r="FO106" s="31"/>
      <c r="FP106" s="31"/>
      <c r="FQ106" s="31"/>
      <c r="FR106" s="31"/>
      <c r="FS106" s="31"/>
      <c r="FT106" s="31"/>
      <c r="FU106" s="31"/>
      <c r="FV106" s="31"/>
      <c r="FW106" s="31"/>
      <c r="FX106" s="31"/>
      <c r="FY106" s="31"/>
      <c r="FZ106" s="31"/>
      <c r="GA106" s="31"/>
      <c r="GB106" s="31"/>
      <c r="GC106" s="31"/>
      <c r="GD106" s="31"/>
      <c r="GE106" s="31"/>
      <c r="GF106" s="31"/>
      <c r="GG106" s="31"/>
      <c r="GH106" s="31"/>
      <c r="GI106" s="31"/>
      <c r="GJ106" s="31"/>
      <c r="GK106" s="31"/>
      <c r="GL106" s="31"/>
      <c r="GM106" s="31"/>
      <c r="GN106" s="31"/>
      <c r="GO106" s="31"/>
      <c r="GP106" s="31"/>
      <c r="GQ106" s="31"/>
      <c r="GR106" s="31"/>
      <c r="GS106" s="31"/>
      <c r="GT106" s="31"/>
      <c r="GU106" s="31"/>
      <c r="GV106" s="31"/>
      <c r="GW106" s="31"/>
      <c r="GX106" s="31"/>
      <c r="GY106" s="31"/>
      <c r="GZ106" s="31"/>
      <c r="HA106" s="31"/>
      <c r="HB106" s="31"/>
      <c r="HC106" s="31"/>
      <c r="HD106" s="31"/>
      <c r="HE106" s="31"/>
      <c r="HF106" s="31"/>
      <c r="HG106" s="31"/>
      <c r="HH106" s="31"/>
      <c r="HI106" s="31"/>
      <c r="HJ106" s="31"/>
      <c r="HK106" s="31"/>
      <c r="HL106" s="31"/>
      <c r="HM106" s="31"/>
      <c r="HN106" s="31"/>
      <c r="HO106" s="31"/>
      <c r="HP106" s="31"/>
      <c r="HQ106" s="31"/>
      <c r="HR106" s="31"/>
      <c r="HS106" s="31"/>
      <c r="HT106" s="31"/>
      <c r="HU106" s="31"/>
      <c r="HV106" s="31"/>
      <c r="HW106" s="31"/>
      <c r="HX106" s="31"/>
      <c r="HY106" s="31"/>
      <c r="HZ106" s="31"/>
    </row>
    <row r="107" spans="1:234" ht="14.25" customHeight="1" x14ac:dyDescent="0.35">
      <c r="A107" s="88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30"/>
      <c r="U107" s="27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  <c r="BS107" s="31"/>
      <c r="BT107" s="31"/>
      <c r="BU107" s="31"/>
      <c r="BV107" s="31"/>
      <c r="BW107" s="31"/>
      <c r="BX107" s="31"/>
      <c r="BY107" s="31"/>
      <c r="BZ107" s="31"/>
      <c r="CA107" s="31"/>
      <c r="CB107" s="31"/>
      <c r="CC107" s="31"/>
      <c r="CD107" s="31"/>
      <c r="CE107" s="31"/>
      <c r="CF107" s="31"/>
      <c r="CG107" s="31"/>
      <c r="CH107" s="31"/>
      <c r="CI107" s="31"/>
      <c r="CJ107" s="31"/>
      <c r="CK107" s="31"/>
      <c r="CL107" s="31"/>
      <c r="CM107" s="31"/>
      <c r="CN107" s="31"/>
      <c r="CO107" s="31"/>
      <c r="CP107" s="31"/>
      <c r="CQ107" s="31"/>
      <c r="CR107" s="31"/>
      <c r="CS107" s="31"/>
      <c r="CT107" s="31"/>
      <c r="CU107" s="31"/>
      <c r="CV107" s="31"/>
      <c r="CW107" s="31"/>
      <c r="CX107" s="31"/>
      <c r="CY107" s="31"/>
      <c r="CZ107" s="31"/>
      <c r="DA107" s="31"/>
      <c r="DB107" s="31"/>
      <c r="DC107" s="31"/>
      <c r="DD107" s="31"/>
      <c r="DE107" s="31"/>
      <c r="DF107" s="31"/>
      <c r="DG107" s="31"/>
      <c r="DH107" s="31"/>
      <c r="DI107" s="31"/>
      <c r="DJ107" s="31"/>
      <c r="DK107" s="31"/>
      <c r="DL107" s="31"/>
      <c r="DM107" s="31"/>
      <c r="DN107" s="31"/>
      <c r="DO107" s="31"/>
      <c r="DP107" s="31"/>
      <c r="DQ107" s="31"/>
      <c r="DR107" s="31"/>
      <c r="DS107" s="31"/>
      <c r="DT107" s="31"/>
      <c r="DU107" s="31"/>
      <c r="DV107" s="31"/>
      <c r="DW107" s="31"/>
      <c r="DX107" s="31"/>
      <c r="DY107" s="31"/>
      <c r="DZ107" s="31"/>
      <c r="EA107" s="31"/>
      <c r="EB107" s="31"/>
      <c r="EC107" s="31"/>
      <c r="ED107" s="31"/>
      <c r="EE107" s="31"/>
      <c r="EF107" s="31"/>
      <c r="EG107" s="31"/>
      <c r="EH107" s="31"/>
      <c r="EI107" s="31"/>
      <c r="EJ107" s="31"/>
      <c r="EK107" s="31"/>
      <c r="EL107" s="31"/>
      <c r="EM107" s="31"/>
      <c r="EN107" s="31"/>
      <c r="EO107" s="31"/>
      <c r="EP107" s="31"/>
      <c r="EQ107" s="31"/>
      <c r="ER107" s="31"/>
      <c r="ES107" s="31"/>
      <c r="ET107" s="31"/>
      <c r="EU107" s="31"/>
      <c r="EV107" s="31"/>
      <c r="EW107" s="31"/>
      <c r="EX107" s="31"/>
      <c r="EY107" s="31"/>
      <c r="EZ107" s="31"/>
      <c r="FA107" s="31"/>
      <c r="FB107" s="31"/>
      <c r="FC107" s="31"/>
      <c r="FD107" s="31"/>
      <c r="FE107" s="31"/>
      <c r="FF107" s="31"/>
      <c r="FG107" s="31"/>
      <c r="FH107" s="31"/>
      <c r="FI107" s="31"/>
      <c r="FJ107" s="31"/>
      <c r="FK107" s="31"/>
      <c r="FL107" s="31"/>
      <c r="FM107" s="31"/>
      <c r="FN107" s="31"/>
      <c r="FO107" s="31"/>
      <c r="FP107" s="31"/>
      <c r="FQ107" s="31"/>
      <c r="FR107" s="31"/>
      <c r="FS107" s="31"/>
      <c r="FT107" s="31"/>
      <c r="FU107" s="31"/>
      <c r="FV107" s="31"/>
      <c r="FW107" s="31"/>
      <c r="FX107" s="31"/>
      <c r="FY107" s="31"/>
      <c r="FZ107" s="31"/>
      <c r="GA107" s="31"/>
      <c r="GB107" s="31"/>
      <c r="GC107" s="31"/>
      <c r="GD107" s="31"/>
      <c r="GE107" s="31"/>
      <c r="GF107" s="31"/>
      <c r="GG107" s="31"/>
      <c r="GH107" s="31"/>
      <c r="GI107" s="31"/>
      <c r="GJ107" s="31"/>
      <c r="GK107" s="31"/>
      <c r="GL107" s="31"/>
      <c r="GM107" s="31"/>
      <c r="GN107" s="31"/>
      <c r="GO107" s="31"/>
      <c r="GP107" s="31"/>
      <c r="GQ107" s="31"/>
      <c r="GR107" s="31"/>
      <c r="GS107" s="31"/>
      <c r="GT107" s="31"/>
      <c r="GU107" s="31"/>
      <c r="GV107" s="31"/>
      <c r="GW107" s="31"/>
      <c r="GX107" s="31"/>
      <c r="GY107" s="31"/>
      <c r="GZ107" s="31"/>
      <c r="HA107" s="31"/>
      <c r="HB107" s="31"/>
      <c r="HC107" s="31"/>
      <c r="HD107" s="31"/>
      <c r="HE107" s="31"/>
      <c r="HF107" s="31"/>
      <c r="HG107" s="31"/>
      <c r="HH107" s="31"/>
      <c r="HI107" s="31"/>
      <c r="HJ107" s="31"/>
      <c r="HK107" s="31"/>
      <c r="HL107" s="31"/>
      <c r="HM107" s="31"/>
      <c r="HN107" s="31"/>
      <c r="HO107" s="31"/>
      <c r="HP107" s="31"/>
      <c r="HQ107" s="31"/>
      <c r="HR107" s="31"/>
      <c r="HS107" s="31"/>
      <c r="HT107" s="31"/>
      <c r="HU107" s="31"/>
      <c r="HV107" s="31"/>
      <c r="HW107" s="31"/>
      <c r="HX107" s="31"/>
      <c r="HY107" s="31"/>
      <c r="HZ107" s="31"/>
    </row>
    <row r="108" spans="1:234" ht="14.25" customHeight="1" x14ac:dyDescent="0.35">
      <c r="A108" s="88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30"/>
      <c r="U108" s="27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/>
      <c r="BH108" s="31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  <c r="BS108" s="31"/>
      <c r="BT108" s="31"/>
      <c r="BU108" s="31"/>
      <c r="BV108" s="31"/>
      <c r="BW108" s="31"/>
      <c r="BX108" s="31"/>
      <c r="BY108" s="31"/>
      <c r="BZ108" s="31"/>
      <c r="CA108" s="31"/>
      <c r="CB108" s="31"/>
      <c r="CC108" s="31"/>
      <c r="CD108" s="31"/>
      <c r="CE108" s="31"/>
      <c r="CF108" s="31"/>
      <c r="CG108" s="31"/>
      <c r="CH108" s="31"/>
      <c r="CI108" s="31"/>
      <c r="CJ108" s="31"/>
      <c r="CK108" s="31"/>
      <c r="CL108" s="31"/>
      <c r="CM108" s="31"/>
      <c r="CN108" s="31"/>
      <c r="CO108" s="31"/>
      <c r="CP108" s="31"/>
      <c r="CQ108" s="31"/>
      <c r="CR108" s="31"/>
      <c r="CS108" s="31"/>
      <c r="CT108" s="31"/>
      <c r="CU108" s="31"/>
      <c r="CV108" s="31"/>
      <c r="CW108" s="31"/>
      <c r="CX108" s="31"/>
      <c r="CY108" s="31"/>
      <c r="CZ108" s="31"/>
      <c r="DA108" s="31"/>
      <c r="DB108" s="31"/>
      <c r="DC108" s="31"/>
      <c r="DD108" s="31"/>
      <c r="DE108" s="31"/>
      <c r="DF108" s="31"/>
      <c r="DG108" s="31"/>
      <c r="DH108" s="31"/>
      <c r="DI108" s="31"/>
      <c r="DJ108" s="31"/>
      <c r="DK108" s="31"/>
      <c r="DL108" s="31"/>
      <c r="DM108" s="31"/>
      <c r="DN108" s="31"/>
      <c r="DO108" s="31"/>
      <c r="DP108" s="31"/>
      <c r="DQ108" s="31"/>
      <c r="DR108" s="31"/>
      <c r="DS108" s="31"/>
      <c r="DT108" s="31"/>
      <c r="DU108" s="31"/>
      <c r="DV108" s="31"/>
      <c r="DW108" s="31"/>
      <c r="DX108" s="31"/>
      <c r="DY108" s="31"/>
      <c r="DZ108" s="31"/>
      <c r="EA108" s="31"/>
      <c r="EB108" s="31"/>
      <c r="EC108" s="31"/>
      <c r="ED108" s="31"/>
      <c r="EE108" s="31"/>
      <c r="EF108" s="31"/>
      <c r="EG108" s="31"/>
      <c r="EH108" s="31"/>
      <c r="EI108" s="31"/>
      <c r="EJ108" s="31"/>
      <c r="EK108" s="31"/>
      <c r="EL108" s="31"/>
      <c r="EM108" s="31"/>
      <c r="EN108" s="31"/>
      <c r="EO108" s="31"/>
      <c r="EP108" s="31"/>
      <c r="EQ108" s="31"/>
      <c r="ER108" s="31"/>
      <c r="ES108" s="31"/>
      <c r="ET108" s="31"/>
      <c r="EU108" s="31"/>
      <c r="EV108" s="31"/>
      <c r="EW108" s="31"/>
      <c r="EX108" s="31"/>
      <c r="EY108" s="31"/>
      <c r="EZ108" s="31"/>
      <c r="FA108" s="31"/>
      <c r="FB108" s="31"/>
      <c r="FC108" s="31"/>
      <c r="FD108" s="31"/>
      <c r="FE108" s="31"/>
      <c r="FF108" s="31"/>
      <c r="FG108" s="31"/>
      <c r="FH108" s="31"/>
      <c r="FI108" s="31"/>
      <c r="FJ108" s="31"/>
      <c r="FK108" s="31"/>
      <c r="FL108" s="31"/>
      <c r="FM108" s="31"/>
      <c r="FN108" s="31"/>
      <c r="FO108" s="31"/>
      <c r="FP108" s="31"/>
      <c r="FQ108" s="31"/>
      <c r="FR108" s="31"/>
      <c r="FS108" s="31"/>
      <c r="FT108" s="31"/>
      <c r="FU108" s="31"/>
      <c r="FV108" s="31"/>
      <c r="FW108" s="31"/>
      <c r="FX108" s="31"/>
      <c r="FY108" s="31"/>
      <c r="FZ108" s="31"/>
      <c r="GA108" s="31"/>
      <c r="GB108" s="31"/>
      <c r="GC108" s="31"/>
      <c r="GD108" s="31"/>
      <c r="GE108" s="31"/>
      <c r="GF108" s="31"/>
      <c r="GG108" s="31"/>
      <c r="GH108" s="31"/>
      <c r="GI108" s="31"/>
      <c r="GJ108" s="31"/>
      <c r="GK108" s="31"/>
      <c r="GL108" s="31"/>
      <c r="GM108" s="31"/>
      <c r="GN108" s="31"/>
      <c r="GO108" s="31"/>
      <c r="GP108" s="31"/>
      <c r="GQ108" s="31"/>
      <c r="GR108" s="31"/>
      <c r="GS108" s="31"/>
      <c r="GT108" s="31"/>
      <c r="GU108" s="31"/>
      <c r="GV108" s="31"/>
      <c r="GW108" s="31"/>
      <c r="GX108" s="31"/>
      <c r="GY108" s="31"/>
      <c r="GZ108" s="31"/>
      <c r="HA108" s="31"/>
      <c r="HB108" s="31"/>
      <c r="HC108" s="31"/>
      <c r="HD108" s="31"/>
      <c r="HE108" s="31"/>
      <c r="HF108" s="31"/>
      <c r="HG108" s="31"/>
      <c r="HH108" s="31"/>
      <c r="HI108" s="31"/>
      <c r="HJ108" s="31"/>
      <c r="HK108" s="31"/>
      <c r="HL108" s="31"/>
      <c r="HM108" s="31"/>
      <c r="HN108" s="31"/>
      <c r="HO108" s="31"/>
      <c r="HP108" s="31"/>
      <c r="HQ108" s="31"/>
      <c r="HR108" s="31"/>
      <c r="HS108" s="31"/>
      <c r="HT108" s="31"/>
      <c r="HU108" s="31"/>
      <c r="HV108" s="31"/>
      <c r="HW108" s="31"/>
      <c r="HX108" s="31"/>
      <c r="HY108" s="31"/>
      <c r="HZ108" s="31"/>
    </row>
    <row r="109" spans="1:234" ht="14.25" customHeight="1" x14ac:dyDescent="0.35">
      <c r="A109" s="88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30"/>
      <c r="U109" s="27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  <c r="BS109" s="31"/>
      <c r="BT109" s="31"/>
      <c r="BU109" s="31"/>
      <c r="BV109" s="31"/>
      <c r="BW109" s="31"/>
      <c r="BX109" s="31"/>
      <c r="BY109" s="31"/>
      <c r="BZ109" s="31"/>
      <c r="CA109" s="31"/>
      <c r="CB109" s="31"/>
      <c r="CC109" s="31"/>
      <c r="CD109" s="31"/>
      <c r="CE109" s="31"/>
      <c r="CF109" s="31"/>
      <c r="CG109" s="31"/>
      <c r="CH109" s="31"/>
      <c r="CI109" s="31"/>
      <c r="CJ109" s="31"/>
      <c r="CK109" s="31"/>
      <c r="CL109" s="31"/>
      <c r="CM109" s="31"/>
      <c r="CN109" s="31"/>
      <c r="CO109" s="31"/>
      <c r="CP109" s="31"/>
      <c r="CQ109" s="31"/>
      <c r="CR109" s="31"/>
      <c r="CS109" s="31"/>
      <c r="CT109" s="31"/>
      <c r="CU109" s="31"/>
      <c r="CV109" s="31"/>
      <c r="CW109" s="31"/>
      <c r="CX109" s="31"/>
      <c r="CY109" s="31"/>
      <c r="CZ109" s="31"/>
      <c r="DA109" s="31"/>
      <c r="DB109" s="31"/>
      <c r="DC109" s="31"/>
      <c r="DD109" s="31"/>
      <c r="DE109" s="31"/>
      <c r="DF109" s="31"/>
      <c r="DG109" s="31"/>
      <c r="DH109" s="31"/>
      <c r="DI109" s="31"/>
      <c r="DJ109" s="31"/>
      <c r="DK109" s="31"/>
      <c r="DL109" s="31"/>
      <c r="DM109" s="31"/>
      <c r="DN109" s="31"/>
      <c r="DO109" s="31"/>
      <c r="DP109" s="31"/>
      <c r="DQ109" s="31"/>
      <c r="DR109" s="31"/>
      <c r="DS109" s="31"/>
      <c r="DT109" s="31"/>
      <c r="DU109" s="31"/>
      <c r="DV109" s="31"/>
      <c r="DW109" s="31"/>
      <c r="DX109" s="31"/>
      <c r="DY109" s="31"/>
      <c r="DZ109" s="31"/>
      <c r="EA109" s="31"/>
      <c r="EB109" s="31"/>
      <c r="EC109" s="31"/>
      <c r="ED109" s="31"/>
      <c r="EE109" s="31"/>
      <c r="EF109" s="31"/>
      <c r="EG109" s="31"/>
      <c r="EH109" s="31"/>
      <c r="EI109" s="31"/>
      <c r="EJ109" s="31"/>
      <c r="EK109" s="31"/>
      <c r="EL109" s="31"/>
      <c r="EM109" s="31"/>
      <c r="EN109" s="31"/>
      <c r="EO109" s="31"/>
      <c r="EP109" s="31"/>
      <c r="EQ109" s="31"/>
      <c r="ER109" s="31"/>
      <c r="ES109" s="31"/>
      <c r="ET109" s="31"/>
      <c r="EU109" s="31"/>
      <c r="EV109" s="31"/>
      <c r="EW109" s="31"/>
      <c r="EX109" s="31"/>
      <c r="EY109" s="31"/>
      <c r="EZ109" s="31"/>
      <c r="FA109" s="31"/>
      <c r="FB109" s="31"/>
      <c r="FC109" s="31"/>
      <c r="FD109" s="31"/>
      <c r="FE109" s="31"/>
      <c r="FF109" s="31"/>
      <c r="FG109" s="31"/>
      <c r="FH109" s="31"/>
      <c r="FI109" s="31"/>
      <c r="FJ109" s="31"/>
      <c r="FK109" s="31"/>
      <c r="FL109" s="31"/>
      <c r="FM109" s="31"/>
      <c r="FN109" s="31"/>
      <c r="FO109" s="31"/>
      <c r="FP109" s="31"/>
      <c r="FQ109" s="31"/>
      <c r="FR109" s="31"/>
      <c r="FS109" s="31"/>
      <c r="FT109" s="31"/>
      <c r="FU109" s="31"/>
      <c r="FV109" s="31"/>
      <c r="FW109" s="31"/>
      <c r="FX109" s="31"/>
      <c r="FY109" s="31"/>
      <c r="FZ109" s="31"/>
      <c r="GA109" s="31"/>
      <c r="GB109" s="31"/>
      <c r="GC109" s="31"/>
      <c r="GD109" s="31"/>
      <c r="GE109" s="31"/>
      <c r="GF109" s="31"/>
      <c r="GG109" s="31"/>
      <c r="GH109" s="31"/>
      <c r="GI109" s="31"/>
      <c r="GJ109" s="31"/>
      <c r="GK109" s="31"/>
      <c r="GL109" s="31"/>
      <c r="GM109" s="31"/>
      <c r="GN109" s="31"/>
      <c r="GO109" s="31"/>
      <c r="GP109" s="31"/>
      <c r="GQ109" s="31"/>
      <c r="GR109" s="31"/>
      <c r="GS109" s="31"/>
      <c r="GT109" s="31"/>
      <c r="GU109" s="31"/>
      <c r="GV109" s="31"/>
      <c r="GW109" s="31"/>
      <c r="GX109" s="31"/>
      <c r="GY109" s="31"/>
      <c r="GZ109" s="31"/>
      <c r="HA109" s="31"/>
      <c r="HB109" s="31"/>
      <c r="HC109" s="31"/>
      <c r="HD109" s="31"/>
      <c r="HE109" s="31"/>
      <c r="HF109" s="31"/>
      <c r="HG109" s="31"/>
      <c r="HH109" s="31"/>
      <c r="HI109" s="31"/>
      <c r="HJ109" s="31"/>
      <c r="HK109" s="31"/>
      <c r="HL109" s="31"/>
      <c r="HM109" s="31"/>
      <c r="HN109" s="31"/>
      <c r="HO109" s="31"/>
      <c r="HP109" s="31"/>
      <c r="HQ109" s="31"/>
      <c r="HR109" s="31"/>
      <c r="HS109" s="31"/>
      <c r="HT109" s="31"/>
      <c r="HU109" s="31"/>
      <c r="HV109" s="31"/>
      <c r="HW109" s="31"/>
      <c r="HX109" s="31"/>
      <c r="HY109" s="31"/>
      <c r="HZ109" s="31"/>
    </row>
    <row r="110" spans="1:234" ht="14.25" customHeight="1" x14ac:dyDescent="0.35">
      <c r="A110" s="88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30"/>
      <c r="U110" s="27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31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  <c r="BS110" s="31"/>
      <c r="BT110" s="31"/>
      <c r="BU110" s="31"/>
      <c r="BV110" s="31"/>
      <c r="BW110" s="31"/>
      <c r="BX110" s="31"/>
      <c r="BY110" s="31"/>
      <c r="BZ110" s="31"/>
      <c r="CA110" s="31"/>
      <c r="CB110" s="31"/>
      <c r="CC110" s="31"/>
      <c r="CD110" s="31"/>
      <c r="CE110" s="31"/>
      <c r="CF110" s="31"/>
      <c r="CG110" s="31"/>
      <c r="CH110" s="31"/>
      <c r="CI110" s="31"/>
      <c r="CJ110" s="31"/>
      <c r="CK110" s="31"/>
      <c r="CL110" s="31"/>
      <c r="CM110" s="31"/>
      <c r="CN110" s="31"/>
      <c r="CO110" s="31"/>
      <c r="CP110" s="31"/>
      <c r="CQ110" s="31"/>
      <c r="CR110" s="31"/>
      <c r="CS110" s="31"/>
      <c r="CT110" s="31"/>
      <c r="CU110" s="31"/>
      <c r="CV110" s="31"/>
      <c r="CW110" s="31"/>
      <c r="CX110" s="31"/>
      <c r="CY110" s="31"/>
      <c r="CZ110" s="31"/>
      <c r="DA110" s="31"/>
      <c r="DB110" s="31"/>
      <c r="DC110" s="31"/>
      <c r="DD110" s="31"/>
      <c r="DE110" s="31"/>
      <c r="DF110" s="31"/>
      <c r="DG110" s="31"/>
      <c r="DH110" s="31"/>
      <c r="DI110" s="31"/>
      <c r="DJ110" s="31"/>
      <c r="DK110" s="31"/>
      <c r="DL110" s="31"/>
      <c r="DM110" s="31"/>
      <c r="DN110" s="31"/>
      <c r="DO110" s="31"/>
      <c r="DP110" s="31"/>
      <c r="DQ110" s="31"/>
      <c r="DR110" s="31"/>
      <c r="DS110" s="31"/>
      <c r="DT110" s="31"/>
      <c r="DU110" s="31"/>
      <c r="DV110" s="31"/>
      <c r="DW110" s="31"/>
      <c r="DX110" s="31"/>
      <c r="DY110" s="31"/>
      <c r="DZ110" s="31"/>
      <c r="EA110" s="31"/>
      <c r="EB110" s="31"/>
      <c r="EC110" s="31"/>
      <c r="ED110" s="31"/>
      <c r="EE110" s="31"/>
      <c r="EF110" s="31"/>
      <c r="EG110" s="31"/>
      <c r="EH110" s="31"/>
      <c r="EI110" s="31"/>
      <c r="EJ110" s="31"/>
      <c r="EK110" s="31"/>
      <c r="EL110" s="31"/>
      <c r="EM110" s="31"/>
      <c r="EN110" s="31"/>
      <c r="EO110" s="31"/>
      <c r="EP110" s="31"/>
      <c r="EQ110" s="31"/>
      <c r="ER110" s="31"/>
      <c r="ES110" s="31"/>
      <c r="ET110" s="31"/>
      <c r="EU110" s="31"/>
      <c r="EV110" s="31"/>
      <c r="EW110" s="31"/>
      <c r="EX110" s="31"/>
      <c r="EY110" s="31"/>
      <c r="EZ110" s="31"/>
      <c r="FA110" s="31"/>
      <c r="FB110" s="31"/>
      <c r="FC110" s="31"/>
      <c r="FD110" s="31"/>
      <c r="FE110" s="31"/>
      <c r="FF110" s="31"/>
      <c r="FG110" s="31"/>
      <c r="FH110" s="31"/>
      <c r="FI110" s="31"/>
      <c r="FJ110" s="31"/>
      <c r="FK110" s="31"/>
      <c r="FL110" s="31"/>
      <c r="FM110" s="31"/>
      <c r="FN110" s="31"/>
      <c r="FO110" s="31"/>
      <c r="FP110" s="31"/>
      <c r="FQ110" s="31"/>
      <c r="FR110" s="31"/>
      <c r="FS110" s="31"/>
      <c r="FT110" s="31"/>
      <c r="FU110" s="31"/>
      <c r="FV110" s="31"/>
      <c r="FW110" s="31"/>
      <c r="FX110" s="31"/>
      <c r="FY110" s="31"/>
      <c r="FZ110" s="31"/>
      <c r="GA110" s="31"/>
      <c r="GB110" s="31"/>
      <c r="GC110" s="31"/>
      <c r="GD110" s="31"/>
      <c r="GE110" s="31"/>
      <c r="GF110" s="31"/>
      <c r="GG110" s="31"/>
      <c r="GH110" s="31"/>
      <c r="GI110" s="31"/>
      <c r="GJ110" s="31"/>
      <c r="GK110" s="31"/>
      <c r="GL110" s="31"/>
      <c r="GM110" s="31"/>
      <c r="GN110" s="31"/>
      <c r="GO110" s="31"/>
      <c r="GP110" s="31"/>
      <c r="GQ110" s="31"/>
      <c r="GR110" s="31"/>
      <c r="GS110" s="31"/>
      <c r="GT110" s="31"/>
      <c r="GU110" s="31"/>
      <c r="GV110" s="31"/>
      <c r="GW110" s="31"/>
      <c r="GX110" s="31"/>
      <c r="GY110" s="31"/>
      <c r="GZ110" s="31"/>
      <c r="HA110" s="31"/>
      <c r="HB110" s="31"/>
      <c r="HC110" s="31"/>
      <c r="HD110" s="31"/>
      <c r="HE110" s="31"/>
      <c r="HF110" s="31"/>
      <c r="HG110" s="31"/>
      <c r="HH110" s="31"/>
      <c r="HI110" s="31"/>
      <c r="HJ110" s="31"/>
      <c r="HK110" s="31"/>
      <c r="HL110" s="31"/>
      <c r="HM110" s="31"/>
      <c r="HN110" s="31"/>
      <c r="HO110" s="31"/>
      <c r="HP110" s="31"/>
      <c r="HQ110" s="31"/>
      <c r="HR110" s="31"/>
      <c r="HS110" s="31"/>
      <c r="HT110" s="31"/>
      <c r="HU110" s="31"/>
      <c r="HV110" s="31"/>
      <c r="HW110" s="31"/>
      <c r="HX110" s="31"/>
      <c r="HY110" s="31"/>
      <c r="HZ110" s="31"/>
    </row>
    <row r="111" spans="1:234" ht="14.25" customHeight="1" x14ac:dyDescent="0.35">
      <c r="A111" s="88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30"/>
      <c r="U111" s="27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  <c r="BS111" s="31"/>
      <c r="BT111" s="31"/>
      <c r="BU111" s="31"/>
      <c r="BV111" s="31"/>
      <c r="BW111" s="31"/>
      <c r="BX111" s="31"/>
      <c r="BY111" s="31"/>
      <c r="BZ111" s="31"/>
      <c r="CA111" s="31"/>
      <c r="CB111" s="31"/>
      <c r="CC111" s="31"/>
      <c r="CD111" s="31"/>
      <c r="CE111" s="31"/>
      <c r="CF111" s="31"/>
      <c r="CG111" s="31"/>
      <c r="CH111" s="31"/>
      <c r="CI111" s="31"/>
      <c r="CJ111" s="31"/>
      <c r="CK111" s="31"/>
      <c r="CL111" s="31"/>
      <c r="CM111" s="31"/>
      <c r="CN111" s="31"/>
      <c r="CO111" s="31"/>
      <c r="CP111" s="31"/>
      <c r="CQ111" s="31"/>
      <c r="CR111" s="31"/>
      <c r="CS111" s="31"/>
      <c r="CT111" s="31"/>
      <c r="CU111" s="31"/>
      <c r="CV111" s="31"/>
      <c r="CW111" s="31"/>
      <c r="CX111" s="31"/>
      <c r="CY111" s="31"/>
      <c r="CZ111" s="31"/>
      <c r="DA111" s="31"/>
      <c r="DB111" s="31"/>
      <c r="DC111" s="31"/>
      <c r="DD111" s="31"/>
      <c r="DE111" s="31"/>
      <c r="DF111" s="31"/>
      <c r="DG111" s="31"/>
      <c r="DH111" s="31"/>
      <c r="DI111" s="31"/>
      <c r="DJ111" s="31"/>
      <c r="DK111" s="31"/>
      <c r="DL111" s="31"/>
      <c r="DM111" s="31"/>
      <c r="DN111" s="31"/>
      <c r="DO111" s="31"/>
      <c r="DP111" s="31"/>
      <c r="DQ111" s="31"/>
      <c r="DR111" s="31"/>
      <c r="DS111" s="31"/>
      <c r="DT111" s="31"/>
      <c r="DU111" s="31"/>
      <c r="DV111" s="31"/>
      <c r="DW111" s="31"/>
      <c r="DX111" s="31"/>
      <c r="DY111" s="31"/>
      <c r="DZ111" s="31"/>
      <c r="EA111" s="31"/>
      <c r="EB111" s="31"/>
      <c r="EC111" s="31"/>
      <c r="ED111" s="31"/>
      <c r="EE111" s="31"/>
      <c r="EF111" s="31"/>
      <c r="EG111" s="31"/>
      <c r="EH111" s="31"/>
      <c r="EI111" s="31"/>
      <c r="EJ111" s="31"/>
      <c r="EK111" s="31"/>
      <c r="EL111" s="31"/>
      <c r="EM111" s="31"/>
      <c r="EN111" s="31"/>
      <c r="EO111" s="31"/>
      <c r="EP111" s="31"/>
      <c r="EQ111" s="31"/>
      <c r="ER111" s="31"/>
      <c r="ES111" s="31"/>
      <c r="ET111" s="31"/>
      <c r="EU111" s="31"/>
      <c r="EV111" s="31"/>
      <c r="EW111" s="31"/>
      <c r="EX111" s="31"/>
      <c r="EY111" s="31"/>
      <c r="EZ111" s="31"/>
      <c r="FA111" s="31"/>
      <c r="FB111" s="31"/>
      <c r="FC111" s="31"/>
      <c r="FD111" s="31"/>
      <c r="FE111" s="31"/>
      <c r="FF111" s="31"/>
      <c r="FG111" s="31"/>
      <c r="FH111" s="31"/>
      <c r="FI111" s="31"/>
      <c r="FJ111" s="31"/>
      <c r="FK111" s="31"/>
      <c r="FL111" s="31"/>
      <c r="FM111" s="31"/>
      <c r="FN111" s="31"/>
      <c r="FO111" s="31"/>
      <c r="FP111" s="31"/>
      <c r="FQ111" s="31"/>
      <c r="FR111" s="31"/>
      <c r="FS111" s="31"/>
      <c r="FT111" s="31"/>
      <c r="FU111" s="31"/>
      <c r="FV111" s="31"/>
      <c r="FW111" s="31"/>
      <c r="FX111" s="31"/>
      <c r="FY111" s="31"/>
      <c r="FZ111" s="31"/>
      <c r="GA111" s="31"/>
      <c r="GB111" s="31"/>
      <c r="GC111" s="31"/>
      <c r="GD111" s="31"/>
      <c r="GE111" s="31"/>
      <c r="GF111" s="31"/>
      <c r="GG111" s="31"/>
      <c r="GH111" s="31"/>
      <c r="GI111" s="31"/>
      <c r="GJ111" s="31"/>
      <c r="GK111" s="31"/>
      <c r="GL111" s="31"/>
      <c r="GM111" s="31"/>
      <c r="GN111" s="31"/>
      <c r="GO111" s="31"/>
      <c r="GP111" s="31"/>
      <c r="GQ111" s="31"/>
      <c r="GR111" s="31"/>
      <c r="GS111" s="31"/>
      <c r="GT111" s="31"/>
      <c r="GU111" s="31"/>
      <c r="GV111" s="31"/>
      <c r="GW111" s="31"/>
      <c r="GX111" s="31"/>
      <c r="GY111" s="31"/>
      <c r="GZ111" s="31"/>
      <c r="HA111" s="31"/>
      <c r="HB111" s="31"/>
      <c r="HC111" s="31"/>
      <c r="HD111" s="31"/>
      <c r="HE111" s="31"/>
      <c r="HF111" s="31"/>
      <c r="HG111" s="31"/>
      <c r="HH111" s="31"/>
      <c r="HI111" s="31"/>
      <c r="HJ111" s="31"/>
      <c r="HK111" s="31"/>
      <c r="HL111" s="31"/>
      <c r="HM111" s="31"/>
      <c r="HN111" s="31"/>
      <c r="HO111" s="31"/>
      <c r="HP111" s="31"/>
      <c r="HQ111" s="31"/>
      <c r="HR111" s="31"/>
      <c r="HS111" s="31"/>
      <c r="HT111" s="31"/>
      <c r="HU111" s="31"/>
      <c r="HV111" s="31"/>
      <c r="HW111" s="31"/>
      <c r="HX111" s="31"/>
      <c r="HY111" s="31"/>
      <c r="HZ111" s="31"/>
    </row>
    <row r="112" spans="1:234" ht="14.25" customHeight="1" x14ac:dyDescent="0.35">
      <c r="A112" s="88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30"/>
      <c r="U112" s="27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  <c r="BS112" s="31"/>
      <c r="BT112" s="31"/>
      <c r="BU112" s="31"/>
      <c r="BV112" s="31"/>
      <c r="BW112" s="31"/>
      <c r="BX112" s="31"/>
      <c r="BY112" s="31"/>
      <c r="BZ112" s="31"/>
      <c r="CA112" s="31"/>
      <c r="CB112" s="31"/>
      <c r="CC112" s="31"/>
      <c r="CD112" s="31"/>
      <c r="CE112" s="31"/>
      <c r="CF112" s="31"/>
      <c r="CG112" s="31"/>
      <c r="CH112" s="31"/>
      <c r="CI112" s="31"/>
      <c r="CJ112" s="31"/>
      <c r="CK112" s="31"/>
      <c r="CL112" s="31"/>
      <c r="CM112" s="31"/>
      <c r="CN112" s="31"/>
      <c r="CO112" s="31"/>
      <c r="CP112" s="31"/>
      <c r="CQ112" s="31"/>
      <c r="CR112" s="31"/>
      <c r="CS112" s="31"/>
      <c r="CT112" s="31"/>
      <c r="CU112" s="31"/>
      <c r="CV112" s="31"/>
      <c r="CW112" s="31"/>
      <c r="CX112" s="31"/>
      <c r="CY112" s="31"/>
      <c r="CZ112" s="31"/>
      <c r="DA112" s="31"/>
      <c r="DB112" s="31"/>
      <c r="DC112" s="31"/>
      <c r="DD112" s="31"/>
      <c r="DE112" s="31"/>
      <c r="DF112" s="31"/>
      <c r="DG112" s="31"/>
      <c r="DH112" s="31"/>
      <c r="DI112" s="31"/>
      <c r="DJ112" s="31"/>
      <c r="DK112" s="31"/>
      <c r="DL112" s="31"/>
      <c r="DM112" s="31"/>
      <c r="DN112" s="31"/>
      <c r="DO112" s="31"/>
      <c r="DP112" s="31"/>
      <c r="DQ112" s="31"/>
      <c r="DR112" s="31"/>
      <c r="DS112" s="31"/>
      <c r="DT112" s="31"/>
      <c r="DU112" s="31"/>
      <c r="DV112" s="31"/>
      <c r="DW112" s="31"/>
      <c r="DX112" s="31"/>
      <c r="DY112" s="31"/>
      <c r="DZ112" s="31"/>
      <c r="EA112" s="31"/>
      <c r="EB112" s="31"/>
      <c r="EC112" s="31"/>
      <c r="ED112" s="31"/>
      <c r="EE112" s="31"/>
      <c r="EF112" s="31"/>
      <c r="EG112" s="31"/>
      <c r="EH112" s="31"/>
      <c r="EI112" s="31"/>
      <c r="EJ112" s="31"/>
      <c r="EK112" s="31"/>
      <c r="EL112" s="31"/>
      <c r="EM112" s="31"/>
      <c r="EN112" s="31"/>
      <c r="EO112" s="31"/>
      <c r="EP112" s="31"/>
      <c r="EQ112" s="31"/>
      <c r="ER112" s="31"/>
      <c r="ES112" s="31"/>
      <c r="ET112" s="31"/>
      <c r="EU112" s="31"/>
      <c r="EV112" s="31"/>
      <c r="EW112" s="31"/>
      <c r="EX112" s="31"/>
      <c r="EY112" s="31"/>
      <c r="EZ112" s="31"/>
      <c r="FA112" s="31"/>
      <c r="FB112" s="31"/>
      <c r="FC112" s="31"/>
      <c r="FD112" s="31"/>
      <c r="FE112" s="31"/>
      <c r="FF112" s="31"/>
      <c r="FG112" s="31"/>
      <c r="FH112" s="31"/>
      <c r="FI112" s="31"/>
      <c r="FJ112" s="31"/>
      <c r="FK112" s="31"/>
      <c r="FL112" s="31"/>
      <c r="FM112" s="31"/>
      <c r="FN112" s="31"/>
      <c r="FO112" s="31"/>
      <c r="FP112" s="31"/>
      <c r="FQ112" s="31"/>
      <c r="FR112" s="31"/>
      <c r="FS112" s="31"/>
      <c r="FT112" s="31"/>
      <c r="FU112" s="31"/>
      <c r="FV112" s="31"/>
      <c r="FW112" s="31"/>
      <c r="FX112" s="31"/>
      <c r="FY112" s="31"/>
      <c r="FZ112" s="31"/>
      <c r="GA112" s="31"/>
      <c r="GB112" s="31"/>
      <c r="GC112" s="31"/>
      <c r="GD112" s="31"/>
      <c r="GE112" s="31"/>
      <c r="GF112" s="31"/>
      <c r="GG112" s="31"/>
      <c r="GH112" s="31"/>
      <c r="GI112" s="31"/>
      <c r="GJ112" s="31"/>
      <c r="GK112" s="31"/>
      <c r="GL112" s="31"/>
      <c r="GM112" s="31"/>
      <c r="GN112" s="31"/>
      <c r="GO112" s="31"/>
      <c r="GP112" s="31"/>
      <c r="GQ112" s="31"/>
      <c r="GR112" s="31"/>
      <c r="GS112" s="31"/>
      <c r="GT112" s="31"/>
      <c r="GU112" s="31"/>
      <c r="GV112" s="31"/>
      <c r="GW112" s="31"/>
      <c r="GX112" s="31"/>
      <c r="GY112" s="31"/>
      <c r="GZ112" s="31"/>
      <c r="HA112" s="31"/>
      <c r="HB112" s="31"/>
      <c r="HC112" s="31"/>
      <c r="HD112" s="31"/>
      <c r="HE112" s="31"/>
      <c r="HF112" s="31"/>
      <c r="HG112" s="31"/>
      <c r="HH112" s="31"/>
      <c r="HI112" s="31"/>
      <c r="HJ112" s="31"/>
      <c r="HK112" s="31"/>
      <c r="HL112" s="31"/>
      <c r="HM112" s="31"/>
      <c r="HN112" s="31"/>
      <c r="HO112" s="31"/>
      <c r="HP112" s="31"/>
      <c r="HQ112" s="31"/>
      <c r="HR112" s="31"/>
      <c r="HS112" s="31"/>
      <c r="HT112" s="31"/>
      <c r="HU112" s="31"/>
      <c r="HV112" s="31"/>
      <c r="HW112" s="31"/>
      <c r="HX112" s="31"/>
      <c r="HY112" s="31"/>
      <c r="HZ112" s="31"/>
    </row>
    <row r="113" spans="1:234" ht="14.25" customHeight="1" x14ac:dyDescent="0.35">
      <c r="A113" s="88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30"/>
      <c r="U113" s="27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31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  <c r="BS113" s="31"/>
      <c r="BT113" s="31"/>
      <c r="BU113" s="31"/>
      <c r="BV113" s="31"/>
      <c r="BW113" s="31"/>
      <c r="BX113" s="31"/>
      <c r="BY113" s="31"/>
      <c r="BZ113" s="31"/>
      <c r="CA113" s="31"/>
      <c r="CB113" s="31"/>
      <c r="CC113" s="31"/>
      <c r="CD113" s="31"/>
      <c r="CE113" s="31"/>
      <c r="CF113" s="31"/>
      <c r="CG113" s="31"/>
      <c r="CH113" s="31"/>
      <c r="CI113" s="31"/>
      <c r="CJ113" s="31"/>
      <c r="CK113" s="31"/>
      <c r="CL113" s="31"/>
      <c r="CM113" s="31"/>
      <c r="CN113" s="31"/>
      <c r="CO113" s="31"/>
      <c r="CP113" s="31"/>
      <c r="CQ113" s="31"/>
      <c r="CR113" s="31"/>
      <c r="CS113" s="31"/>
      <c r="CT113" s="31"/>
      <c r="CU113" s="31"/>
      <c r="CV113" s="31"/>
      <c r="CW113" s="31"/>
      <c r="CX113" s="31"/>
      <c r="CY113" s="31"/>
      <c r="CZ113" s="31"/>
      <c r="DA113" s="31"/>
      <c r="DB113" s="31"/>
      <c r="DC113" s="31"/>
      <c r="DD113" s="31"/>
      <c r="DE113" s="31"/>
      <c r="DF113" s="31"/>
      <c r="DG113" s="31"/>
      <c r="DH113" s="31"/>
      <c r="DI113" s="31"/>
      <c r="DJ113" s="31"/>
      <c r="DK113" s="31"/>
      <c r="DL113" s="31"/>
      <c r="DM113" s="31"/>
      <c r="DN113" s="31"/>
      <c r="DO113" s="31"/>
      <c r="DP113" s="31"/>
      <c r="DQ113" s="31"/>
      <c r="DR113" s="31"/>
      <c r="DS113" s="31"/>
      <c r="DT113" s="31"/>
      <c r="DU113" s="31"/>
      <c r="DV113" s="31"/>
      <c r="DW113" s="31"/>
      <c r="DX113" s="31"/>
      <c r="DY113" s="31"/>
      <c r="DZ113" s="31"/>
      <c r="EA113" s="31"/>
      <c r="EB113" s="31"/>
      <c r="EC113" s="31"/>
      <c r="ED113" s="31"/>
      <c r="EE113" s="31"/>
      <c r="EF113" s="31"/>
      <c r="EG113" s="31"/>
      <c r="EH113" s="31"/>
      <c r="EI113" s="31"/>
      <c r="EJ113" s="31"/>
      <c r="EK113" s="31"/>
      <c r="EL113" s="31"/>
      <c r="EM113" s="31"/>
      <c r="EN113" s="31"/>
      <c r="EO113" s="31"/>
      <c r="EP113" s="31"/>
      <c r="EQ113" s="31"/>
      <c r="ER113" s="31"/>
      <c r="ES113" s="31"/>
      <c r="ET113" s="31"/>
      <c r="EU113" s="31"/>
      <c r="EV113" s="31"/>
      <c r="EW113" s="31"/>
      <c r="EX113" s="31"/>
      <c r="EY113" s="31"/>
      <c r="EZ113" s="31"/>
      <c r="FA113" s="31"/>
      <c r="FB113" s="31"/>
      <c r="FC113" s="31"/>
      <c r="FD113" s="31"/>
      <c r="FE113" s="31"/>
      <c r="FF113" s="31"/>
      <c r="FG113" s="31"/>
      <c r="FH113" s="31"/>
      <c r="FI113" s="31"/>
      <c r="FJ113" s="31"/>
      <c r="FK113" s="31"/>
      <c r="FL113" s="31"/>
      <c r="FM113" s="31"/>
      <c r="FN113" s="31"/>
      <c r="FO113" s="31"/>
      <c r="FP113" s="31"/>
      <c r="FQ113" s="31"/>
      <c r="FR113" s="31"/>
      <c r="FS113" s="31"/>
      <c r="FT113" s="31"/>
      <c r="FU113" s="31"/>
      <c r="FV113" s="31"/>
      <c r="FW113" s="31"/>
      <c r="FX113" s="31"/>
      <c r="FY113" s="31"/>
      <c r="FZ113" s="31"/>
      <c r="GA113" s="31"/>
      <c r="GB113" s="31"/>
      <c r="GC113" s="31"/>
      <c r="GD113" s="31"/>
      <c r="GE113" s="31"/>
      <c r="GF113" s="31"/>
      <c r="GG113" s="31"/>
      <c r="GH113" s="31"/>
      <c r="GI113" s="31"/>
      <c r="GJ113" s="31"/>
      <c r="GK113" s="31"/>
      <c r="GL113" s="31"/>
      <c r="GM113" s="31"/>
      <c r="GN113" s="31"/>
      <c r="GO113" s="31"/>
      <c r="GP113" s="31"/>
      <c r="GQ113" s="31"/>
      <c r="GR113" s="31"/>
      <c r="GS113" s="31"/>
      <c r="GT113" s="31"/>
      <c r="GU113" s="31"/>
      <c r="GV113" s="31"/>
      <c r="GW113" s="31"/>
      <c r="GX113" s="31"/>
      <c r="GY113" s="31"/>
      <c r="GZ113" s="31"/>
      <c r="HA113" s="31"/>
      <c r="HB113" s="31"/>
      <c r="HC113" s="31"/>
      <c r="HD113" s="31"/>
      <c r="HE113" s="31"/>
      <c r="HF113" s="31"/>
      <c r="HG113" s="31"/>
      <c r="HH113" s="31"/>
      <c r="HI113" s="31"/>
      <c r="HJ113" s="31"/>
      <c r="HK113" s="31"/>
      <c r="HL113" s="31"/>
      <c r="HM113" s="31"/>
      <c r="HN113" s="31"/>
      <c r="HO113" s="31"/>
      <c r="HP113" s="31"/>
      <c r="HQ113" s="31"/>
      <c r="HR113" s="31"/>
      <c r="HS113" s="31"/>
      <c r="HT113" s="31"/>
      <c r="HU113" s="31"/>
      <c r="HV113" s="31"/>
      <c r="HW113" s="31"/>
      <c r="HX113" s="31"/>
      <c r="HY113" s="31"/>
      <c r="HZ113" s="31"/>
    </row>
    <row r="114" spans="1:234" ht="14.25" customHeight="1" x14ac:dyDescent="0.35">
      <c r="A114" s="88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30"/>
      <c r="U114" s="27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  <c r="BS114" s="31"/>
      <c r="BT114" s="31"/>
      <c r="BU114" s="31"/>
      <c r="BV114" s="31"/>
      <c r="BW114" s="31"/>
      <c r="BX114" s="31"/>
      <c r="BY114" s="31"/>
      <c r="BZ114" s="31"/>
      <c r="CA114" s="31"/>
      <c r="CB114" s="31"/>
      <c r="CC114" s="31"/>
      <c r="CD114" s="31"/>
      <c r="CE114" s="31"/>
      <c r="CF114" s="31"/>
      <c r="CG114" s="31"/>
      <c r="CH114" s="31"/>
      <c r="CI114" s="31"/>
      <c r="CJ114" s="31"/>
      <c r="CK114" s="31"/>
      <c r="CL114" s="31"/>
      <c r="CM114" s="31"/>
      <c r="CN114" s="31"/>
      <c r="CO114" s="31"/>
      <c r="CP114" s="31"/>
      <c r="CQ114" s="31"/>
      <c r="CR114" s="31"/>
      <c r="CS114" s="31"/>
      <c r="CT114" s="31"/>
      <c r="CU114" s="31"/>
      <c r="CV114" s="31"/>
      <c r="CW114" s="31"/>
      <c r="CX114" s="31"/>
      <c r="CY114" s="31"/>
      <c r="CZ114" s="31"/>
      <c r="DA114" s="31"/>
      <c r="DB114" s="31"/>
      <c r="DC114" s="31"/>
      <c r="DD114" s="31"/>
      <c r="DE114" s="31"/>
      <c r="DF114" s="31"/>
      <c r="DG114" s="31"/>
      <c r="DH114" s="31"/>
      <c r="DI114" s="31"/>
      <c r="DJ114" s="31"/>
      <c r="DK114" s="31"/>
      <c r="DL114" s="31"/>
      <c r="DM114" s="31"/>
      <c r="DN114" s="31"/>
      <c r="DO114" s="31"/>
      <c r="DP114" s="31"/>
      <c r="DQ114" s="31"/>
      <c r="DR114" s="31"/>
      <c r="DS114" s="31"/>
      <c r="DT114" s="31"/>
      <c r="DU114" s="31"/>
      <c r="DV114" s="31"/>
      <c r="DW114" s="31"/>
      <c r="DX114" s="31"/>
      <c r="DY114" s="31"/>
      <c r="DZ114" s="31"/>
      <c r="EA114" s="31"/>
      <c r="EB114" s="31"/>
      <c r="EC114" s="31"/>
      <c r="ED114" s="31"/>
      <c r="EE114" s="31"/>
      <c r="EF114" s="31"/>
      <c r="EG114" s="31"/>
      <c r="EH114" s="31"/>
      <c r="EI114" s="31"/>
      <c r="EJ114" s="31"/>
      <c r="EK114" s="31"/>
      <c r="EL114" s="31"/>
      <c r="EM114" s="31"/>
      <c r="EN114" s="31"/>
      <c r="EO114" s="31"/>
      <c r="EP114" s="31"/>
      <c r="EQ114" s="31"/>
      <c r="ER114" s="31"/>
      <c r="ES114" s="31"/>
      <c r="ET114" s="31"/>
      <c r="EU114" s="31"/>
      <c r="EV114" s="31"/>
      <c r="EW114" s="31"/>
      <c r="EX114" s="31"/>
      <c r="EY114" s="31"/>
      <c r="EZ114" s="31"/>
      <c r="FA114" s="31"/>
      <c r="FB114" s="31"/>
      <c r="FC114" s="31"/>
      <c r="FD114" s="31"/>
      <c r="FE114" s="31"/>
      <c r="FF114" s="31"/>
      <c r="FG114" s="31"/>
      <c r="FH114" s="31"/>
      <c r="FI114" s="31"/>
      <c r="FJ114" s="31"/>
      <c r="FK114" s="31"/>
      <c r="FL114" s="31"/>
      <c r="FM114" s="31"/>
      <c r="FN114" s="31"/>
      <c r="FO114" s="31"/>
      <c r="FP114" s="31"/>
      <c r="FQ114" s="31"/>
      <c r="FR114" s="31"/>
      <c r="FS114" s="31"/>
      <c r="FT114" s="31"/>
      <c r="FU114" s="31"/>
      <c r="FV114" s="31"/>
      <c r="FW114" s="31"/>
      <c r="FX114" s="31"/>
      <c r="FY114" s="31"/>
      <c r="FZ114" s="31"/>
      <c r="GA114" s="31"/>
      <c r="GB114" s="31"/>
      <c r="GC114" s="31"/>
      <c r="GD114" s="31"/>
      <c r="GE114" s="31"/>
      <c r="GF114" s="31"/>
      <c r="GG114" s="31"/>
      <c r="GH114" s="31"/>
      <c r="GI114" s="31"/>
      <c r="GJ114" s="31"/>
      <c r="GK114" s="31"/>
      <c r="GL114" s="31"/>
      <c r="GM114" s="31"/>
      <c r="GN114" s="31"/>
      <c r="GO114" s="31"/>
      <c r="GP114" s="31"/>
      <c r="GQ114" s="31"/>
      <c r="GR114" s="31"/>
      <c r="GS114" s="31"/>
      <c r="GT114" s="31"/>
      <c r="GU114" s="31"/>
      <c r="GV114" s="31"/>
      <c r="GW114" s="31"/>
      <c r="GX114" s="31"/>
      <c r="GY114" s="31"/>
      <c r="GZ114" s="31"/>
      <c r="HA114" s="31"/>
      <c r="HB114" s="31"/>
      <c r="HC114" s="31"/>
      <c r="HD114" s="31"/>
      <c r="HE114" s="31"/>
      <c r="HF114" s="31"/>
      <c r="HG114" s="31"/>
      <c r="HH114" s="31"/>
      <c r="HI114" s="31"/>
      <c r="HJ114" s="31"/>
      <c r="HK114" s="31"/>
      <c r="HL114" s="31"/>
      <c r="HM114" s="31"/>
      <c r="HN114" s="31"/>
      <c r="HO114" s="31"/>
      <c r="HP114" s="31"/>
      <c r="HQ114" s="31"/>
      <c r="HR114" s="31"/>
      <c r="HS114" s="31"/>
      <c r="HT114" s="31"/>
      <c r="HU114" s="31"/>
      <c r="HV114" s="31"/>
      <c r="HW114" s="31"/>
      <c r="HX114" s="31"/>
      <c r="HY114" s="31"/>
      <c r="HZ114" s="31"/>
    </row>
    <row r="115" spans="1:234" ht="14.25" customHeight="1" x14ac:dyDescent="0.35">
      <c r="A115" s="88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30"/>
      <c r="U115" s="27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31"/>
      <c r="BH115" s="31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  <c r="BS115" s="31"/>
      <c r="BT115" s="31"/>
      <c r="BU115" s="31"/>
      <c r="BV115" s="31"/>
      <c r="BW115" s="31"/>
      <c r="BX115" s="31"/>
      <c r="BY115" s="31"/>
      <c r="BZ115" s="31"/>
      <c r="CA115" s="31"/>
      <c r="CB115" s="31"/>
      <c r="CC115" s="31"/>
      <c r="CD115" s="31"/>
      <c r="CE115" s="31"/>
      <c r="CF115" s="31"/>
      <c r="CG115" s="31"/>
      <c r="CH115" s="31"/>
      <c r="CI115" s="31"/>
      <c r="CJ115" s="31"/>
      <c r="CK115" s="31"/>
      <c r="CL115" s="31"/>
      <c r="CM115" s="31"/>
      <c r="CN115" s="31"/>
      <c r="CO115" s="31"/>
      <c r="CP115" s="31"/>
      <c r="CQ115" s="31"/>
      <c r="CR115" s="31"/>
      <c r="CS115" s="31"/>
      <c r="CT115" s="31"/>
      <c r="CU115" s="31"/>
      <c r="CV115" s="31"/>
      <c r="CW115" s="31"/>
      <c r="CX115" s="31"/>
      <c r="CY115" s="31"/>
      <c r="CZ115" s="31"/>
      <c r="DA115" s="31"/>
      <c r="DB115" s="31"/>
      <c r="DC115" s="31"/>
      <c r="DD115" s="31"/>
      <c r="DE115" s="31"/>
      <c r="DF115" s="31"/>
      <c r="DG115" s="31"/>
      <c r="DH115" s="31"/>
      <c r="DI115" s="31"/>
      <c r="DJ115" s="31"/>
      <c r="DK115" s="31"/>
      <c r="DL115" s="31"/>
      <c r="DM115" s="31"/>
      <c r="DN115" s="31"/>
      <c r="DO115" s="31"/>
      <c r="DP115" s="31"/>
      <c r="DQ115" s="31"/>
      <c r="DR115" s="31"/>
      <c r="DS115" s="31"/>
      <c r="DT115" s="31"/>
      <c r="DU115" s="31"/>
      <c r="DV115" s="31"/>
      <c r="DW115" s="31"/>
      <c r="DX115" s="31"/>
      <c r="DY115" s="31"/>
      <c r="DZ115" s="31"/>
      <c r="EA115" s="31"/>
      <c r="EB115" s="31"/>
      <c r="EC115" s="31"/>
      <c r="ED115" s="31"/>
      <c r="EE115" s="31"/>
      <c r="EF115" s="31"/>
      <c r="EG115" s="31"/>
      <c r="EH115" s="31"/>
      <c r="EI115" s="31"/>
      <c r="EJ115" s="31"/>
      <c r="EK115" s="31"/>
      <c r="EL115" s="31"/>
      <c r="EM115" s="31"/>
      <c r="EN115" s="31"/>
      <c r="EO115" s="31"/>
      <c r="EP115" s="31"/>
      <c r="EQ115" s="31"/>
      <c r="ER115" s="31"/>
      <c r="ES115" s="31"/>
      <c r="ET115" s="31"/>
      <c r="EU115" s="31"/>
      <c r="EV115" s="31"/>
      <c r="EW115" s="31"/>
      <c r="EX115" s="31"/>
      <c r="EY115" s="31"/>
      <c r="EZ115" s="31"/>
      <c r="FA115" s="31"/>
      <c r="FB115" s="31"/>
      <c r="FC115" s="31"/>
      <c r="FD115" s="31"/>
      <c r="FE115" s="31"/>
      <c r="FF115" s="31"/>
      <c r="FG115" s="31"/>
      <c r="FH115" s="31"/>
      <c r="FI115" s="31"/>
      <c r="FJ115" s="31"/>
      <c r="FK115" s="31"/>
      <c r="FL115" s="31"/>
      <c r="FM115" s="31"/>
      <c r="FN115" s="31"/>
      <c r="FO115" s="31"/>
      <c r="FP115" s="31"/>
      <c r="FQ115" s="31"/>
      <c r="FR115" s="31"/>
      <c r="FS115" s="31"/>
      <c r="FT115" s="31"/>
      <c r="FU115" s="31"/>
      <c r="FV115" s="31"/>
      <c r="FW115" s="31"/>
      <c r="FX115" s="31"/>
      <c r="FY115" s="31"/>
      <c r="FZ115" s="31"/>
      <c r="GA115" s="31"/>
      <c r="GB115" s="31"/>
      <c r="GC115" s="31"/>
      <c r="GD115" s="31"/>
      <c r="GE115" s="31"/>
      <c r="GF115" s="31"/>
      <c r="GG115" s="31"/>
      <c r="GH115" s="31"/>
      <c r="GI115" s="31"/>
      <c r="GJ115" s="31"/>
      <c r="GK115" s="31"/>
      <c r="GL115" s="31"/>
      <c r="GM115" s="31"/>
      <c r="GN115" s="31"/>
      <c r="GO115" s="31"/>
      <c r="GP115" s="31"/>
      <c r="GQ115" s="31"/>
      <c r="GR115" s="31"/>
      <c r="GS115" s="31"/>
      <c r="GT115" s="31"/>
      <c r="GU115" s="31"/>
      <c r="GV115" s="31"/>
      <c r="GW115" s="31"/>
      <c r="GX115" s="31"/>
      <c r="GY115" s="31"/>
      <c r="GZ115" s="31"/>
      <c r="HA115" s="31"/>
      <c r="HB115" s="31"/>
      <c r="HC115" s="31"/>
      <c r="HD115" s="31"/>
      <c r="HE115" s="31"/>
      <c r="HF115" s="31"/>
      <c r="HG115" s="31"/>
      <c r="HH115" s="31"/>
      <c r="HI115" s="31"/>
      <c r="HJ115" s="31"/>
      <c r="HK115" s="31"/>
      <c r="HL115" s="31"/>
      <c r="HM115" s="31"/>
      <c r="HN115" s="31"/>
      <c r="HO115" s="31"/>
      <c r="HP115" s="31"/>
      <c r="HQ115" s="31"/>
      <c r="HR115" s="31"/>
      <c r="HS115" s="31"/>
      <c r="HT115" s="31"/>
      <c r="HU115" s="31"/>
      <c r="HV115" s="31"/>
      <c r="HW115" s="31"/>
      <c r="HX115" s="31"/>
      <c r="HY115" s="31"/>
      <c r="HZ115" s="31"/>
    </row>
    <row r="116" spans="1:234" ht="14.25" customHeight="1" x14ac:dyDescent="0.35">
      <c r="A116" s="88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30"/>
      <c r="U116" s="27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31"/>
      <c r="BH116" s="31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  <c r="BS116" s="31"/>
      <c r="BT116" s="31"/>
      <c r="BU116" s="31"/>
      <c r="BV116" s="31"/>
      <c r="BW116" s="31"/>
      <c r="BX116" s="31"/>
      <c r="BY116" s="31"/>
      <c r="BZ116" s="31"/>
      <c r="CA116" s="31"/>
      <c r="CB116" s="31"/>
      <c r="CC116" s="31"/>
      <c r="CD116" s="31"/>
      <c r="CE116" s="31"/>
      <c r="CF116" s="31"/>
      <c r="CG116" s="31"/>
      <c r="CH116" s="31"/>
      <c r="CI116" s="31"/>
      <c r="CJ116" s="31"/>
      <c r="CK116" s="31"/>
      <c r="CL116" s="31"/>
      <c r="CM116" s="31"/>
      <c r="CN116" s="31"/>
      <c r="CO116" s="31"/>
      <c r="CP116" s="31"/>
      <c r="CQ116" s="31"/>
      <c r="CR116" s="31"/>
      <c r="CS116" s="31"/>
      <c r="CT116" s="31"/>
      <c r="CU116" s="31"/>
      <c r="CV116" s="31"/>
      <c r="CW116" s="31"/>
      <c r="CX116" s="31"/>
      <c r="CY116" s="31"/>
      <c r="CZ116" s="31"/>
      <c r="DA116" s="31"/>
      <c r="DB116" s="31"/>
      <c r="DC116" s="31"/>
      <c r="DD116" s="31"/>
      <c r="DE116" s="31"/>
      <c r="DF116" s="31"/>
      <c r="DG116" s="31"/>
      <c r="DH116" s="31"/>
      <c r="DI116" s="31"/>
      <c r="DJ116" s="31"/>
      <c r="DK116" s="31"/>
      <c r="DL116" s="31"/>
      <c r="DM116" s="31"/>
      <c r="DN116" s="31"/>
      <c r="DO116" s="31"/>
      <c r="DP116" s="31"/>
      <c r="DQ116" s="31"/>
      <c r="DR116" s="31"/>
      <c r="DS116" s="31"/>
      <c r="DT116" s="31"/>
      <c r="DU116" s="31"/>
      <c r="DV116" s="31"/>
      <c r="DW116" s="31"/>
      <c r="DX116" s="31"/>
      <c r="DY116" s="31"/>
      <c r="DZ116" s="31"/>
      <c r="EA116" s="31"/>
      <c r="EB116" s="31"/>
      <c r="EC116" s="31"/>
      <c r="ED116" s="31"/>
      <c r="EE116" s="31"/>
      <c r="EF116" s="31"/>
      <c r="EG116" s="31"/>
      <c r="EH116" s="31"/>
      <c r="EI116" s="31"/>
      <c r="EJ116" s="31"/>
      <c r="EK116" s="31"/>
      <c r="EL116" s="31"/>
      <c r="EM116" s="31"/>
      <c r="EN116" s="31"/>
      <c r="EO116" s="31"/>
      <c r="EP116" s="31"/>
      <c r="EQ116" s="31"/>
      <c r="ER116" s="31"/>
      <c r="ES116" s="31"/>
      <c r="ET116" s="31"/>
      <c r="EU116" s="31"/>
      <c r="EV116" s="31"/>
      <c r="EW116" s="31"/>
      <c r="EX116" s="31"/>
      <c r="EY116" s="31"/>
      <c r="EZ116" s="31"/>
      <c r="FA116" s="31"/>
      <c r="FB116" s="31"/>
      <c r="FC116" s="31"/>
      <c r="FD116" s="31"/>
      <c r="FE116" s="31"/>
      <c r="FF116" s="31"/>
      <c r="FG116" s="31"/>
      <c r="FH116" s="31"/>
      <c r="FI116" s="31"/>
      <c r="FJ116" s="31"/>
      <c r="FK116" s="31"/>
      <c r="FL116" s="31"/>
      <c r="FM116" s="31"/>
      <c r="FN116" s="31"/>
      <c r="FO116" s="31"/>
      <c r="FP116" s="31"/>
      <c r="FQ116" s="31"/>
      <c r="FR116" s="31"/>
      <c r="FS116" s="31"/>
      <c r="FT116" s="31"/>
      <c r="FU116" s="31"/>
      <c r="FV116" s="31"/>
      <c r="FW116" s="31"/>
      <c r="FX116" s="31"/>
      <c r="FY116" s="31"/>
      <c r="FZ116" s="31"/>
      <c r="GA116" s="31"/>
      <c r="GB116" s="31"/>
      <c r="GC116" s="31"/>
      <c r="GD116" s="31"/>
      <c r="GE116" s="31"/>
      <c r="GF116" s="31"/>
      <c r="GG116" s="31"/>
      <c r="GH116" s="31"/>
      <c r="GI116" s="31"/>
      <c r="GJ116" s="31"/>
      <c r="GK116" s="31"/>
      <c r="GL116" s="31"/>
      <c r="GM116" s="31"/>
      <c r="GN116" s="31"/>
      <c r="GO116" s="31"/>
      <c r="GP116" s="31"/>
      <c r="GQ116" s="31"/>
      <c r="GR116" s="31"/>
      <c r="GS116" s="31"/>
      <c r="GT116" s="31"/>
      <c r="GU116" s="31"/>
      <c r="GV116" s="31"/>
      <c r="GW116" s="31"/>
      <c r="GX116" s="31"/>
      <c r="GY116" s="31"/>
      <c r="GZ116" s="31"/>
      <c r="HA116" s="31"/>
      <c r="HB116" s="31"/>
      <c r="HC116" s="31"/>
      <c r="HD116" s="31"/>
      <c r="HE116" s="31"/>
      <c r="HF116" s="31"/>
      <c r="HG116" s="31"/>
      <c r="HH116" s="31"/>
      <c r="HI116" s="31"/>
      <c r="HJ116" s="31"/>
      <c r="HK116" s="31"/>
      <c r="HL116" s="31"/>
      <c r="HM116" s="31"/>
      <c r="HN116" s="31"/>
      <c r="HO116" s="31"/>
      <c r="HP116" s="31"/>
      <c r="HQ116" s="31"/>
      <c r="HR116" s="31"/>
      <c r="HS116" s="31"/>
      <c r="HT116" s="31"/>
      <c r="HU116" s="31"/>
      <c r="HV116" s="31"/>
      <c r="HW116" s="31"/>
      <c r="HX116" s="31"/>
      <c r="HY116" s="31"/>
      <c r="HZ116" s="31"/>
    </row>
    <row r="117" spans="1:234" ht="14.25" customHeight="1" x14ac:dyDescent="0.35">
      <c r="A117" s="88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30"/>
      <c r="U117" s="27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  <c r="BE117" s="31"/>
      <c r="BF117" s="31"/>
      <c r="BG117" s="31"/>
      <c r="BH117" s="31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  <c r="BS117" s="31"/>
      <c r="BT117" s="31"/>
      <c r="BU117" s="31"/>
      <c r="BV117" s="31"/>
      <c r="BW117" s="31"/>
      <c r="BX117" s="31"/>
      <c r="BY117" s="31"/>
      <c r="BZ117" s="31"/>
      <c r="CA117" s="31"/>
      <c r="CB117" s="31"/>
      <c r="CC117" s="31"/>
      <c r="CD117" s="31"/>
      <c r="CE117" s="31"/>
      <c r="CF117" s="31"/>
      <c r="CG117" s="31"/>
      <c r="CH117" s="31"/>
      <c r="CI117" s="31"/>
      <c r="CJ117" s="31"/>
      <c r="CK117" s="31"/>
      <c r="CL117" s="31"/>
      <c r="CM117" s="31"/>
      <c r="CN117" s="31"/>
      <c r="CO117" s="31"/>
      <c r="CP117" s="31"/>
      <c r="CQ117" s="31"/>
      <c r="CR117" s="31"/>
      <c r="CS117" s="31"/>
      <c r="CT117" s="31"/>
      <c r="CU117" s="31"/>
      <c r="CV117" s="31"/>
      <c r="CW117" s="31"/>
      <c r="CX117" s="31"/>
      <c r="CY117" s="31"/>
      <c r="CZ117" s="31"/>
      <c r="DA117" s="31"/>
      <c r="DB117" s="31"/>
      <c r="DC117" s="31"/>
      <c r="DD117" s="31"/>
      <c r="DE117" s="31"/>
      <c r="DF117" s="31"/>
      <c r="DG117" s="31"/>
      <c r="DH117" s="31"/>
      <c r="DI117" s="31"/>
      <c r="DJ117" s="31"/>
      <c r="DK117" s="31"/>
      <c r="DL117" s="31"/>
      <c r="DM117" s="31"/>
      <c r="DN117" s="31"/>
      <c r="DO117" s="31"/>
      <c r="DP117" s="31"/>
      <c r="DQ117" s="31"/>
      <c r="DR117" s="31"/>
      <c r="DS117" s="31"/>
      <c r="DT117" s="31"/>
      <c r="DU117" s="31"/>
      <c r="DV117" s="31"/>
      <c r="DW117" s="31"/>
      <c r="DX117" s="31"/>
      <c r="DY117" s="31"/>
      <c r="DZ117" s="31"/>
      <c r="EA117" s="31"/>
      <c r="EB117" s="31"/>
      <c r="EC117" s="31"/>
      <c r="ED117" s="31"/>
      <c r="EE117" s="31"/>
      <c r="EF117" s="31"/>
      <c r="EG117" s="31"/>
      <c r="EH117" s="31"/>
      <c r="EI117" s="31"/>
      <c r="EJ117" s="31"/>
      <c r="EK117" s="31"/>
      <c r="EL117" s="31"/>
      <c r="EM117" s="31"/>
      <c r="EN117" s="31"/>
      <c r="EO117" s="31"/>
      <c r="EP117" s="31"/>
      <c r="EQ117" s="31"/>
      <c r="ER117" s="31"/>
      <c r="ES117" s="31"/>
      <c r="ET117" s="31"/>
      <c r="EU117" s="31"/>
      <c r="EV117" s="31"/>
      <c r="EW117" s="31"/>
      <c r="EX117" s="31"/>
      <c r="EY117" s="31"/>
      <c r="EZ117" s="31"/>
      <c r="FA117" s="31"/>
      <c r="FB117" s="31"/>
      <c r="FC117" s="31"/>
      <c r="FD117" s="31"/>
      <c r="FE117" s="31"/>
      <c r="FF117" s="31"/>
      <c r="FG117" s="31"/>
      <c r="FH117" s="31"/>
      <c r="FI117" s="31"/>
      <c r="FJ117" s="31"/>
      <c r="FK117" s="31"/>
      <c r="FL117" s="31"/>
      <c r="FM117" s="31"/>
      <c r="FN117" s="31"/>
      <c r="FO117" s="31"/>
      <c r="FP117" s="31"/>
      <c r="FQ117" s="31"/>
      <c r="FR117" s="31"/>
      <c r="FS117" s="31"/>
      <c r="FT117" s="31"/>
      <c r="FU117" s="31"/>
      <c r="FV117" s="31"/>
      <c r="FW117" s="31"/>
      <c r="FX117" s="31"/>
      <c r="FY117" s="31"/>
      <c r="FZ117" s="31"/>
      <c r="GA117" s="31"/>
      <c r="GB117" s="31"/>
      <c r="GC117" s="31"/>
      <c r="GD117" s="31"/>
      <c r="GE117" s="31"/>
      <c r="GF117" s="31"/>
      <c r="GG117" s="31"/>
      <c r="GH117" s="31"/>
      <c r="GI117" s="31"/>
      <c r="GJ117" s="31"/>
      <c r="GK117" s="31"/>
      <c r="GL117" s="31"/>
      <c r="GM117" s="31"/>
      <c r="GN117" s="31"/>
      <c r="GO117" s="31"/>
      <c r="GP117" s="31"/>
      <c r="GQ117" s="31"/>
      <c r="GR117" s="31"/>
      <c r="GS117" s="31"/>
      <c r="GT117" s="31"/>
      <c r="GU117" s="31"/>
      <c r="GV117" s="31"/>
      <c r="GW117" s="31"/>
      <c r="GX117" s="31"/>
      <c r="GY117" s="31"/>
      <c r="GZ117" s="31"/>
      <c r="HA117" s="31"/>
      <c r="HB117" s="31"/>
      <c r="HC117" s="31"/>
      <c r="HD117" s="31"/>
      <c r="HE117" s="31"/>
      <c r="HF117" s="31"/>
      <c r="HG117" s="31"/>
      <c r="HH117" s="31"/>
      <c r="HI117" s="31"/>
      <c r="HJ117" s="31"/>
      <c r="HK117" s="31"/>
      <c r="HL117" s="31"/>
      <c r="HM117" s="31"/>
      <c r="HN117" s="31"/>
      <c r="HO117" s="31"/>
      <c r="HP117" s="31"/>
      <c r="HQ117" s="31"/>
      <c r="HR117" s="31"/>
      <c r="HS117" s="31"/>
      <c r="HT117" s="31"/>
      <c r="HU117" s="31"/>
      <c r="HV117" s="31"/>
      <c r="HW117" s="31"/>
      <c r="HX117" s="31"/>
      <c r="HY117" s="31"/>
      <c r="HZ117" s="31"/>
    </row>
    <row r="118" spans="1:234" ht="14.25" customHeight="1" x14ac:dyDescent="0.35">
      <c r="A118" s="88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30"/>
      <c r="U118" s="27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  <c r="BS118" s="31"/>
      <c r="BT118" s="31"/>
      <c r="BU118" s="31"/>
      <c r="BV118" s="31"/>
      <c r="BW118" s="31"/>
      <c r="BX118" s="31"/>
      <c r="BY118" s="31"/>
      <c r="BZ118" s="31"/>
      <c r="CA118" s="31"/>
      <c r="CB118" s="31"/>
      <c r="CC118" s="31"/>
      <c r="CD118" s="31"/>
      <c r="CE118" s="31"/>
      <c r="CF118" s="31"/>
      <c r="CG118" s="31"/>
      <c r="CH118" s="31"/>
      <c r="CI118" s="31"/>
      <c r="CJ118" s="31"/>
      <c r="CK118" s="31"/>
      <c r="CL118" s="31"/>
      <c r="CM118" s="31"/>
      <c r="CN118" s="31"/>
      <c r="CO118" s="31"/>
      <c r="CP118" s="31"/>
      <c r="CQ118" s="31"/>
      <c r="CR118" s="31"/>
      <c r="CS118" s="31"/>
      <c r="CT118" s="31"/>
      <c r="CU118" s="31"/>
      <c r="CV118" s="31"/>
      <c r="CW118" s="31"/>
      <c r="CX118" s="31"/>
      <c r="CY118" s="31"/>
      <c r="CZ118" s="31"/>
      <c r="DA118" s="31"/>
      <c r="DB118" s="31"/>
      <c r="DC118" s="31"/>
      <c r="DD118" s="31"/>
      <c r="DE118" s="31"/>
      <c r="DF118" s="31"/>
      <c r="DG118" s="31"/>
      <c r="DH118" s="31"/>
      <c r="DI118" s="31"/>
      <c r="DJ118" s="31"/>
      <c r="DK118" s="31"/>
      <c r="DL118" s="31"/>
      <c r="DM118" s="31"/>
      <c r="DN118" s="31"/>
      <c r="DO118" s="31"/>
      <c r="DP118" s="31"/>
      <c r="DQ118" s="31"/>
      <c r="DR118" s="31"/>
      <c r="DS118" s="31"/>
      <c r="DT118" s="31"/>
      <c r="DU118" s="31"/>
      <c r="DV118" s="31"/>
      <c r="DW118" s="31"/>
      <c r="DX118" s="31"/>
      <c r="DY118" s="31"/>
      <c r="DZ118" s="31"/>
      <c r="EA118" s="31"/>
      <c r="EB118" s="31"/>
      <c r="EC118" s="31"/>
      <c r="ED118" s="31"/>
      <c r="EE118" s="31"/>
      <c r="EF118" s="31"/>
      <c r="EG118" s="31"/>
      <c r="EH118" s="31"/>
      <c r="EI118" s="31"/>
      <c r="EJ118" s="31"/>
      <c r="EK118" s="31"/>
      <c r="EL118" s="31"/>
      <c r="EM118" s="31"/>
      <c r="EN118" s="31"/>
      <c r="EO118" s="31"/>
      <c r="EP118" s="31"/>
      <c r="EQ118" s="31"/>
      <c r="ER118" s="31"/>
      <c r="ES118" s="31"/>
      <c r="ET118" s="31"/>
      <c r="EU118" s="31"/>
      <c r="EV118" s="31"/>
      <c r="EW118" s="31"/>
      <c r="EX118" s="31"/>
      <c r="EY118" s="31"/>
      <c r="EZ118" s="31"/>
      <c r="FA118" s="31"/>
      <c r="FB118" s="31"/>
      <c r="FC118" s="31"/>
      <c r="FD118" s="31"/>
      <c r="FE118" s="31"/>
      <c r="FF118" s="31"/>
      <c r="FG118" s="31"/>
      <c r="FH118" s="31"/>
      <c r="FI118" s="31"/>
      <c r="FJ118" s="31"/>
      <c r="FK118" s="31"/>
      <c r="FL118" s="31"/>
      <c r="FM118" s="31"/>
      <c r="FN118" s="31"/>
      <c r="FO118" s="31"/>
      <c r="FP118" s="31"/>
      <c r="FQ118" s="31"/>
      <c r="FR118" s="31"/>
      <c r="FS118" s="31"/>
      <c r="FT118" s="31"/>
      <c r="FU118" s="31"/>
      <c r="FV118" s="31"/>
      <c r="FW118" s="31"/>
      <c r="FX118" s="31"/>
      <c r="FY118" s="31"/>
      <c r="FZ118" s="31"/>
      <c r="GA118" s="31"/>
      <c r="GB118" s="31"/>
      <c r="GC118" s="31"/>
      <c r="GD118" s="31"/>
      <c r="GE118" s="31"/>
      <c r="GF118" s="31"/>
      <c r="GG118" s="31"/>
      <c r="GH118" s="31"/>
      <c r="GI118" s="31"/>
      <c r="GJ118" s="31"/>
      <c r="GK118" s="31"/>
      <c r="GL118" s="31"/>
      <c r="GM118" s="31"/>
      <c r="GN118" s="31"/>
      <c r="GO118" s="31"/>
      <c r="GP118" s="31"/>
      <c r="GQ118" s="31"/>
      <c r="GR118" s="31"/>
      <c r="GS118" s="31"/>
      <c r="GT118" s="31"/>
      <c r="GU118" s="31"/>
      <c r="GV118" s="31"/>
      <c r="GW118" s="31"/>
      <c r="GX118" s="31"/>
      <c r="GY118" s="31"/>
      <c r="GZ118" s="31"/>
      <c r="HA118" s="31"/>
      <c r="HB118" s="31"/>
      <c r="HC118" s="31"/>
      <c r="HD118" s="31"/>
      <c r="HE118" s="31"/>
      <c r="HF118" s="31"/>
      <c r="HG118" s="31"/>
      <c r="HH118" s="31"/>
      <c r="HI118" s="31"/>
      <c r="HJ118" s="31"/>
      <c r="HK118" s="31"/>
      <c r="HL118" s="31"/>
      <c r="HM118" s="31"/>
      <c r="HN118" s="31"/>
      <c r="HO118" s="31"/>
      <c r="HP118" s="31"/>
      <c r="HQ118" s="31"/>
      <c r="HR118" s="31"/>
      <c r="HS118" s="31"/>
      <c r="HT118" s="31"/>
      <c r="HU118" s="31"/>
      <c r="HV118" s="31"/>
      <c r="HW118" s="31"/>
      <c r="HX118" s="31"/>
      <c r="HY118" s="31"/>
      <c r="HZ118" s="31"/>
    </row>
    <row r="119" spans="1:234" ht="14.25" customHeight="1" x14ac:dyDescent="0.35">
      <c r="A119" s="88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30"/>
      <c r="U119" s="27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31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  <c r="BS119" s="31"/>
      <c r="BT119" s="31"/>
      <c r="BU119" s="31"/>
      <c r="BV119" s="31"/>
      <c r="BW119" s="31"/>
      <c r="BX119" s="31"/>
      <c r="BY119" s="31"/>
      <c r="BZ119" s="31"/>
      <c r="CA119" s="31"/>
      <c r="CB119" s="31"/>
      <c r="CC119" s="31"/>
      <c r="CD119" s="31"/>
      <c r="CE119" s="31"/>
      <c r="CF119" s="31"/>
      <c r="CG119" s="31"/>
      <c r="CH119" s="31"/>
      <c r="CI119" s="31"/>
      <c r="CJ119" s="31"/>
      <c r="CK119" s="31"/>
      <c r="CL119" s="31"/>
      <c r="CM119" s="31"/>
      <c r="CN119" s="31"/>
      <c r="CO119" s="31"/>
      <c r="CP119" s="31"/>
      <c r="CQ119" s="31"/>
      <c r="CR119" s="31"/>
      <c r="CS119" s="31"/>
      <c r="CT119" s="31"/>
      <c r="CU119" s="31"/>
      <c r="CV119" s="31"/>
      <c r="CW119" s="31"/>
      <c r="CX119" s="31"/>
      <c r="CY119" s="31"/>
      <c r="CZ119" s="31"/>
      <c r="DA119" s="31"/>
      <c r="DB119" s="31"/>
      <c r="DC119" s="31"/>
      <c r="DD119" s="31"/>
      <c r="DE119" s="31"/>
      <c r="DF119" s="31"/>
      <c r="DG119" s="31"/>
      <c r="DH119" s="31"/>
      <c r="DI119" s="31"/>
      <c r="DJ119" s="31"/>
      <c r="DK119" s="31"/>
      <c r="DL119" s="31"/>
      <c r="DM119" s="31"/>
      <c r="DN119" s="31"/>
      <c r="DO119" s="31"/>
      <c r="DP119" s="31"/>
      <c r="DQ119" s="31"/>
      <c r="DR119" s="31"/>
      <c r="DS119" s="31"/>
      <c r="DT119" s="31"/>
      <c r="DU119" s="31"/>
      <c r="DV119" s="31"/>
      <c r="DW119" s="31"/>
      <c r="DX119" s="31"/>
      <c r="DY119" s="31"/>
      <c r="DZ119" s="31"/>
      <c r="EA119" s="31"/>
      <c r="EB119" s="31"/>
      <c r="EC119" s="31"/>
      <c r="ED119" s="31"/>
      <c r="EE119" s="31"/>
      <c r="EF119" s="31"/>
      <c r="EG119" s="31"/>
      <c r="EH119" s="31"/>
      <c r="EI119" s="31"/>
      <c r="EJ119" s="31"/>
      <c r="EK119" s="31"/>
      <c r="EL119" s="31"/>
      <c r="EM119" s="31"/>
      <c r="EN119" s="31"/>
      <c r="EO119" s="31"/>
      <c r="EP119" s="31"/>
      <c r="EQ119" s="31"/>
      <c r="ER119" s="31"/>
      <c r="ES119" s="31"/>
      <c r="ET119" s="31"/>
      <c r="EU119" s="31"/>
      <c r="EV119" s="31"/>
      <c r="EW119" s="31"/>
      <c r="EX119" s="31"/>
      <c r="EY119" s="31"/>
      <c r="EZ119" s="31"/>
      <c r="FA119" s="31"/>
      <c r="FB119" s="31"/>
      <c r="FC119" s="31"/>
      <c r="FD119" s="31"/>
      <c r="FE119" s="31"/>
      <c r="FF119" s="31"/>
      <c r="FG119" s="31"/>
      <c r="FH119" s="31"/>
      <c r="FI119" s="31"/>
      <c r="FJ119" s="31"/>
      <c r="FK119" s="31"/>
      <c r="FL119" s="31"/>
      <c r="FM119" s="31"/>
      <c r="FN119" s="31"/>
      <c r="FO119" s="31"/>
      <c r="FP119" s="31"/>
      <c r="FQ119" s="31"/>
      <c r="FR119" s="31"/>
      <c r="FS119" s="31"/>
      <c r="FT119" s="31"/>
      <c r="FU119" s="31"/>
      <c r="FV119" s="31"/>
      <c r="FW119" s="31"/>
      <c r="FX119" s="31"/>
      <c r="FY119" s="31"/>
      <c r="FZ119" s="31"/>
      <c r="GA119" s="31"/>
      <c r="GB119" s="31"/>
      <c r="GC119" s="31"/>
      <c r="GD119" s="31"/>
      <c r="GE119" s="31"/>
      <c r="GF119" s="31"/>
      <c r="GG119" s="31"/>
      <c r="GH119" s="31"/>
      <c r="GI119" s="31"/>
      <c r="GJ119" s="31"/>
      <c r="GK119" s="31"/>
      <c r="GL119" s="31"/>
      <c r="GM119" s="31"/>
      <c r="GN119" s="31"/>
      <c r="GO119" s="31"/>
      <c r="GP119" s="31"/>
      <c r="GQ119" s="31"/>
      <c r="GR119" s="31"/>
      <c r="GS119" s="31"/>
      <c r="GT119" s="31"/>
      <c r="GU119" s="31"/>
      <c r="GV119" s="31"/>
      <c r="GW119" s="31"/>
      <c r="GX119" s="31"/>
      <c r="GY119" s="31"/>
      <c r="GZ119" s="31"/>
      <c r="HA119" s="31"/>
      <c r="HB119" s="31"/>
      <c r="HC119" s="31"/>
      <c r="HD119" s="31"/>
      <c r="HE119" s="31"/>
      <c r="HF119" s="31"/>
      <c r="HG119" s="31"/>
      <c r="HH119" s="31"/>
      <c r="HI119" s="31"/>
      <c r="HJ119" s="31"/>
      <c r="HK119" s="31"/>
      <c r="HL119" s="31"/>
      <c r="HM119" s="31"/>
      <c r="HN119" s="31"/>
      <c r="HO119" s="31"/>
      <c r="HP119" s="31"/>
      <c r="HQ119" s="31"/>
      <c r="HR119" s="31"/>
      <c r="HS119" s="31"/>
      <c r="HT119" s="31"/>
      <c r="HU119" s="31"/>
      <c r="HV119" s="31"/>
      <c r="HW119" s="31"/>
      <c r="HX119" s="31"/>
      <c r="HY119" s="31"/>
      <c r="HZ119" s="31"/>
    </row>
    <row r="120" spans="1:234" ht="14.25" customHeight="1" x14ac:dyDescent="0.35">
      <c r="A120" s="88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30"/>
      <c r="U120" s="27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  <c r="BS120" s="31"/>
      <c r="BT120" s="31"/>
      <c r="BU120" s="31"/>
      <c r="BV120" s="31"/>
      <c r="BW120" s="31"/>
      <c r="BX120" s="31"/>
      <c r="BY120" s="31"/>
      <c r="BZ120" s="31"/>
      <c r="CA120" s="31"/>
      <c r="CB120" s="31"/>
      <c r="CC120" s="31"/>
      <c r="CD120" s="31"/>
      <c r="CE120" s="31"/>
      <c r="CF120" s="31"/>
      <c r="CG120" s="31"/>
      <c r="CH120" s="31"/>
      <c r="CI120" s="31"/>
      <c r="CJ120" s="31"/>
      <c r="CK120" s="31"/>
      <c r="CL120" s="31"/>
      <c r="CM120" s="31"/>
      <c r="CN120" s="31"/>
      <c r="CO120" s="31"/>
      <c r="CP120" s="31"/>
      <c r="CQ120" s="31"/>
      <c r="CR120" s="31"/>
      <c r="CS120" s="31"/>
      <c r="CT120" s="31"/>
      <c r="CU120" s="31"/>
      <c r="CV120" s="31"/>
      <c r="CW120" s="31"/>
      <c r="CX120" s="31"/>
      <c r="CY120" s="31"/>
      <c r="CZ120" s="31"/>
      <c r="DA120" s="31"/>
      <c r="DB120" s="31"/>
      <c r="DC120" s="31"/>
      <c r="DD120" s="31"/>
      <c r="DE120" s="31"/>
      <c r="DF120" s="31"/>
      <c r="DG120" s="31"/>
      <c r="DH120" s="31"/>
      <c r="DI120" s="31"/>
      <c r="DJ120" s="31"/>
      <c r="DK120" s="31"/>
      <c r="DL120" s="31"/>
      <c r="DM120" s="31"/>
      <c r="DN120" s="31"/>
      <c r="DO120" s="31"/>
      <c r="DP120" s="31"/>
      <c r="DQ120" s="31"/>
      <c r="DR120" s="31"/>
      <c r="DS120" s="31"/>
      <c r="DT120" s="31"/>
      <c r="DU120" s="31"/>
      <c r="DV120" s="31"/>
      <c r="DW120" s="31"/>
      <c r="DX120" s="31"/>
      <c r="DY120" s="31"/>
      <c r="DZ120" s="31"/>
      <c r="EA120" s="31"/>
      <c r="EB120" s="31"/>
      <c r="EC120" s="31"/>
      <c r="ED120" s="31"/>
      <c r="EE120" s="31"/>
      <c r="EF120" s="31"/>
      <c r="EG120" s="31"/>
      <c r="EH120" s="31"/>
      <c r="EI120" s="31"/>
      <c r="EJ120" s="31"/>
      <c r="EK120" s="31"/>
      <c r="EL120" s="31"/>
      <c r="EM120" s="31"/>
      <c r="EN120" s="31"/>
      <c r="EO120" s="31"/>
      <c r="EP120" s="31"/>
      <c r="EQ120" s="31"/>
      <c r="ER120" s="31"/>
      <c r="ES120" s="31"/>
      <c r="ET120" s="31"/>
      <c r="EU120" s="31"/>
      <c r="EV120" s="31"/>
      <c r="EW120" s="31"/>
      <c r="EX120" s="31"/>
      <c r="EY120" s="31"/>
      <c r="EZ120" s="31"/>
      <c r="FA120" s="31"/>
      <c r="FB120" s="31"/>
      <c r="FC120" s="31"/>
      <c r="FD120" s="31"/>
      <c r="FE120" s="31"/>
      <c r="FF120" s="31"/>
      <c r="FG120" s="31"/>
      <c r="FH120" s="31"/>
      <c r="FI120" s="31"/>
      <c r="FJ120" s="31"/>
      <c r="FK120" s="31"/>
      <c r="FL120" s="31"/>
      <c r="FM120" s="31"/>
      <c r="FN120" s="31"/>
      <c r="FO120" s="31"/>
      <c r="FP120" s="31"/>
      <c r="FQ120" s="31"/>
      <c r="FR120" s="31"/>
      <c r="FS120" s="31"/>
      <c r="FT120" s="31"/>
      <c r="FU120" s="31"/>
      <c r="FV120" s="31"/>
      <c r="FW120" s="31"/>
      <c r="FX120" s="31"/>
      <c r="FY120" s="31"/>
      <c r="FZ120" s="31"/>
      <c r="GA120" s="31"/>
      <c r="GB120" s="31"/>
      <c r="GC120" s="31"/>
      <c r="GD120" s="31"/>
      <c r="GE120" s="31"/>
      <c r="GF120" s="31"/>
      <c r="GG120" s="31"/>
      <c r="GH120" s="31"/>
      <c r="GI120" s="31"/>
      <c r="GJ120" s="31"/>
      <c r="GK120" s="31"/>
      <c r="GL120" s="31"/>
      <c r="GM120" s="31"/>
      <c r="GN120" s="31"/>
      <c r="GO120" s="31"/>
      <c r="GP120" s="31"/>
      <c r="GQ120" s="31"/>
      <c r="GR120" s="31"/>
      <c r="GS120" s="31"/>
      <c r="GT120" s="31"/>
      <c r="GU120" s="31"/>
      <c r="GV120" s="31"/>
      <c r="GW120" s="31"/>
      <c r="GX120" s="31"/>
      <c r="GY120" s="31"/>
      <c r="GZ120" s="31"/>
      <c r="HA120" s="31"/>
      <c r="HB120" s="31"/>
      <c r="HC120" s="31"/>
      <c r="HD120" s="31"/>
      <c r="HE120" s="31"/>
      <c r="HF120" s="31"/>
      <c r="HG120" s="31"/>
      <c r="HH120" s="31"/>
      <c r="HI120" s="31"/>
      <c r="HJ120" s="31"/>
      <c r="HK120" s="31"/>
      <c r="HL120" s="31"/>
      <c r="HM120" s="31"/>
      <c r="HN120" s="31"/>
      <c r="HO120" s="31"/>
      <c r="HP120" s="31"/>
      <c r="HQ120" s="31"/>
      <c r="HR120" s="31"/>
      <c r="HS120" s="31"/>
      <c r="HT120" s="31"/>
      <c r="HU120" s="31"/>
      <c r="HV120" s="31"/>
      <c r="HW120" s="31"/>
      <c r="HX120" s="31"/>
      <c r="HY120" s="31"/>
      <c r="HZ120" s="31"/>
    </row>
    <row r="121" spans="1:234" ht="14.25" customHeight="1" x14ac:dyDescent="0.35">
      <c r="A121" s="88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30"/>
      <c r="U121" s="27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31"/>
      <c r="BH121" s="31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  <c r="BS121" s="31"/>
      <c r="BT121" s="31"/>
      <c r="BU121" s="31"/>
      <c r="BV121" s="31"/>
      <c r="BW121" s="31"/>
      <c r="BX121" s="31"/>
      <c r="BY121" s="31"/>
      <c r="BZ121" s="31"/>
      <c r="CA121" s="31"/>
      <c r="CB121" s="31"/>
      <c r="CC121" s="31"/>
      <c r="CD121" s="31"/>
      <c r="CE121" s="31"/>
      <c r="CF121" s="31"/>
      <c r="CG121" s="31"/>
      <c r="CH121" s="31"/>
      <c r="CI121" s="31"/>
      <c r="CJ121" s="31"/>
      <c r="CK121" s="31"/>
      <c r="CL121" s="31"/>
      <c r="CM121" s="31"/>
      <c r="CN121" s="31"/>
      <c r="CO121" s="31"/>
      <c r="CP121" s="31"/>
      <c r="CQ121" s="31"/>
      <c r="CR121" s="31"/>
      <c r="CS121" s="31"/>
      <c r="CT121" s="31"/>
      <c r="CU121" s="31"/>
      <c r="CV121" s="31"/>
      <c r="CW121" s="31"/>
      <c r="CX121" s="31"/>
      <c r="CY121" s="31"/>
      <c r="CZ121" s="31"/>
      <c r="DA121" s="31"/>
      <c r="DB121" s="31"/>
      <c r="DC121" s="31"/>
      <c r="DD121" s="31"/>
      <c r="DE121" s="31"/>
      <c r="DF121" s="31"/>
      <c r="DG121" s="31"/>
      <c r="DH121" s="31"/>
      <c r="DI121" s="31"/>
      <c r="DJ121" s="31"/>
      <c r="DK121" s="31"/>
      <c r="DL121" s="31"/>
      <c r="DM121" s="31"/>
      <c r="DN121" s="31"/>
      <c r="DO121" s="31"/>
      <c r="DP121" s="31"/>
      <c r="DQ121" s="31"/>
      <c r="DR121" s="31"/>
      <c r="DS121" s="31"/>
      <c r="DT121" s="31"/>
      <c r="DU121" s="31"/>
      <c r="DV121" s="31"/>
      <c r="DW121" s="31"/>
      <c r="DX121" s="31"/>
      <c r="DY121" s="31"/>
      <c r="DZ121" s="31"/>
      <c r="EA121" s="31"/>
      <c r="EB121" s="31"/>
      <c r="EC121" s="31"/>
      <c r="ED121" s="31"/>
      <c r="EE121" s="31"/>
      <c r="EF121" s="31"/>
      <c r="EG121" s="31"/>
      <c r="EH121" s="31"/>
      <c r="EI121" s="31"/>
      <c r="EJ121" s="31"/>
      <c r="EK121" s="31"/>
      <c r="EL121" s="31"/>
      <c r="EM121" s="31"/>
      <c r="EN121" s="31"/>
      <c r="EO121" s="31"/>
      <c r="EP121" s="31"/>
      <c r="EQ121" s="31"/>
      <c r="ER121" s="31"/>
      <c r="ES121" s="31"/>
      <c r="ET121" s="31"/>
      <c r="EU121" s="31"/>
      <c r="EV121" s="31"/>
      <c r="EW121" s="31"/>
      <c r="EX121" s="31"/>
      <c r="EY121" s="31"/>
      <c r="EZ121" s="31"/>
      <c r="FA121" s="31"/>
      <c r="FB121" s="31"/>
      <c r="FC121" s="31"/>
      <c r="FD121" s="31"/>
      <c r="FE121" s="31"/>
      <c r="FF121" s="31"/>
      <c r="FG121" s="31"/>
      <c r="FH121" s="31"/>
      <c r="FI121" s="31"/>
      <c r="FJ121" s="31"/>
      <c r="FK121" s="31"/>
      <c r="FL121" s="31"/>
      <c r="FM121" s="31"/>
      <c r="FN121" s="31"/>
      <c r="FO121" s="31"/>
      <c r="FP121" s="31"/>
      <c r="FQ121" s="31"/>
      <c r="FR121" s="31"/>
      <c r="FS121" s="31"/>
      <c r="FT121" s="31"/>
      <c r="FU121" s="31"/>
      <c r="FV121" s="31"/>
      <c r="FW121" s="31"/>
      <c r="FX121" s="31"/>
      <c r="FY121" s="31"/>
      <c r="FZ121" s="31"/>
      <c r="GA121" s="31"/>
      <c r="GB121" s="31"/>
      <c r="GC121" s="31"/>
      <c r="GD121" s="31"/>
      <c r="GE121" s="31"/>
      <c r="GF121" s="31"/>
      <c r="GG121" s="31"/>
      <c r="GH121" s="31"/>
      <c r="GI121" s="31"/>
      <c r="GJ121" s="31"/>
      <c r="GK121" s="31"/>
      <c r="GL121" s="31"/>
      <c r="GM121" s="31"/>
      <c r="GN121" s="31"/>
      <c r="GO121" s="31"/>
      <c r="GP121" s="31"/>
      <c r="GQ121" s="31"/>
      <c r="GR121" s="31"/>
      <c r="GS121" s="31"/>
      <c r="GT121" s="31"/>
      <c r="GU121" s="31"/>
      <c r="GV121" s="31"/>
      <c r="GW121" s="31"/>
      <c r="GX121" s="31"/>
      <c r="GY121" s="31"/>
      <c r="GZ121" s="31"/>
      <c r="HA121" s="31"/>
      <c r="HB121" s="31"/>
      <c r="HC121" s="31"/>
      <c r="HD121" s="31"/>
      <c r="HE121" s="31"/>
      <c r="HF121" s="31"/>
      <c r="HG121" s="31"/>
      <c r="HH121" s="31"/>
      <c r="HI121" s="31"/>
      <c r="HJ121" s="31"/>
      <c r="HK121" s="31"/>
      <c r="HL121" s="31"/>
      <c r="HM121" s="31"/>
      <c r="HN121" s="31"/>
      <c r="HO121" s="31"/>
      <c r="HP121" s="31"/>
      <c r="HQ121" s="31"/>
      <c r="HR121" s="31"/>
      <c r="HS121" s="31"/>
      <c r="HT121" s="31"/>
      <c r="HU121" s="31"/>
      <c r="HV121" s="31"/>
      <c r="HW121" s="31"/>
      <c r="HX121" s="31"/>
      <c r="HY121" s="31"/>
      <c r="HZ121" s="31"/>
    </row>
    <row r="122" spans="1:234" ht="14.25" customHeight="1" x14ac:dyDescent="0.35">
      <c r="A122" s="88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30"/>
      <c r="U122" s="27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  <c r="BS122" s="31"/>
      <c r="BT122" s="31"/>
      <c r="BU122" s="31"/>
      <c r="BV122" s="31"/>
      <c r="BW122" s="31"/>
      <c r="BX122" s="31"/>
      <c r="BY122" s="31"/>
      <c r="BZ122" s="31"/>
      <c r="CA122" s="31"/>
      <c r="CB122" s="31"/>
      <c r="CC122" s="31"/>
      <c r="CD122" s="31"/>
      <c r="CE122" s="31"/>
      <c r="CF122" s="31"/>
      <c r="CG122" s="31"/>
      <c r="CH122" s="31"/>
      <c r="CI122" s="31"/>
      <c r="CJ122" s="31"/>
      <c r="CK122" s="31"/>
      <c r="CL122" s="31"/>
      <c r="CM122" s="31"/>
      <c r="CN122" s="31"/>
      <c r="CO122" s="31"/>
      <c r="CP122" s="31"/>
      <c r="CQ122" s="31"/>
      <c r="CR122" s="31"/>
      <c r="CS122" s="31"/>
      <c r="CT122" s="31"/>
      <c r="CU122" s="31"/>
      <c r="CV122" s="31"/>
      <c r="CW122" s="31"/>
      <c r="CX122" s="31"/>
      <c r="CY122" s="31"/>
      <c r="CZ122" s="31"/>
      <c r="DA122" s="31"/>
      <c r="DB122" s="31"/>
      <c r="DC122" s="31"/>
      <c r="DD122" s="31"/>
      <c r="DE122" s="31"/>
      <c r="DF122" s="31"/>
      <c r="DG122" s="31"/>
      <c r="DH122" s="31"/>
      <c r="DI122" s="31"/>
      <c r="DJ122" s="31"/>
      <c r="DK122" s="31"/>
      <c r="DL122" s="31"/>
      <c r="DM122" s="31"/>
      <c r="DN122" s="31"/>
      <c r="DO122" s="31"/>
      <c r="DP122" s="31"/>
      <c r="DQ122" s="31"/>
      <c r="DR122" s="31"/>
      <c r="DS122" s="31"/>
      <c r="DT122" s="31"/>
      <c r="DU122" s="31"/>
      <c r="DV122" s="31"/>
      <c r="DW122" s="31"/>
      <c r="DX122" s="31"/>
      <c r="DY122" s="31"/>
      <c r="DZ122" s="31"/>
      <c r="EA122" s="31"/>
      <c r="EB122" s="31"/>
      <c r="EC122" s="31"/>
      <c r="ED122" s="31"/>
      <c r="EE122" s="31"/>
      <c r="EF122" s="31"/>
      <c r="EG122" s="31"/>
      <c r="EH122" s="31"/>
      <c r="EI122" s="31"/>
      <c r="EJ122" s="31"/>
      <c r="EK122" s="31"/>
      <c r="EL122" s="31"/>
      <c r="EM122" s="31"/>
      <c r="EN122" s="31"/>
      <c r="EO122" s="31"/>
      <c r="EP122" s="31"/>
      <c r="EQ122" s="31"/>
      <c r="ER122" s="31"/>
      <c r="ES122" s="31"/>
      <c r="ET122" s="31"/>
      <c r="EU122" s="31"/>
      <c r="EV122" s="31"/>
      <c r="EW122" s="31"/>
      <c r="EX122" s="31"/>
      <c r="EY122" s="31"/>
      <c r="EZ122" s="31"/>
      <c r="FA122" s="31"/>
      <c r="FB122" s="31"/>
      <c r="FC122" s="31"/>
      <c r="FD122" s="31"/>
      <c r="FE122" s="31"/>
      <c r="FF122" s="31"/>
      <c r="FG122" s="31"/>
      <c r="FH122" s="31"/>
      <c r="FI122" s="31"/>
      <c r="FJ122" s="31"/>
      <c r="FK122" s="31"/>
      <c r="FL122" s="31"/>
      <c r="FM122" s="31"/>
      <c r="FN122" s="31"/>
      <c r="FO122" s="31"/>
      <c r="FP122" s="31"/>
      <c r="FQ122" s="31"/>
      <c r="FR122" s="31"/>
      <c r="FS122" s="31"/>
      <c r="FT122" s="31"/>
      <c r="FU122" s="31"/>
      <c r="FV122" s="31"/>
      <c r="FW122" s="31"/>
      <c r="FX122" s="31"/>
      <c r="FY122" s="31"/>
      <c r="FZ122" s="31"/>
      <c r="GA122" s="31"/>
      <c r="GB122" s="31"/>
      <c r="GC122" s="31"/>
      <c r="GD122" s="31"/>
      <c r="GE122" s="31"/>
      <c r="GF122" s="31"/>
      <c r="GG122" s="31"/>
      <c r="GH122" s="31"/>
      <c r="GI122" s="31"/>
      <c r="GJ122" s="31"/>
      <c r="GK122" s="31"/>
      <c r="GL122" s="31"/>
      <c r="GM122" s="31"/>
      <c r="GN122" s="31"/>
      <c r="GO122" s="31"/>
      <c r="GP122" s="31"/>
      <c r="GQ122" s="31"/>
      <c r="GR122" s="31"/>
      <c r="GS122" s="31"/>
      <c r="GT122" s="31"/>
      <c r="GU122" s="31"/>
      <c r="GV122" s="31"/>
      <c r="GW122" s="31"/>
      <c r="GX122" s="31"/>
      <c r="GY122" s="31"/>
      <c r="GZ122" s="31"/>
      <c r="HA122" s="31"/>
      <c r="HB122" s="31"/>
      <c r="HC122" s="31"/>
      <c r="HD122" s="31"/>
      <c r="HE122" s="31"/>
      <c r="HF122" s="31"/>
      <c r="HG122" s="31"/>
      <c r="HH122" s="31"/>
      <c r="HI122" s="31"/>
      <c r="HJ122" s="31"/>
      <c r="HK122" s="31"/>
      <c r="HL122" s="31"/>
      <c r="HM122" s="31"/>
      <c r="HN122" s="31"/>
      <c r="HO122" s="31"/>
      <c r="HP122" s="31"/>
      <c r="HQ122" s="31"/>
      <c r="HR122" s="31"/>
      <c r="HS122" s="31"/>
      <c r="HT122" s="31"/>
      <c r="HU122" s="31"/>
      <c r="HV122" s="31"/>
      <c r="HW122" s="31"/>
      <c r="HX122" s="31"/>
      <c r="HY122" s="31"/>
      <c r="HZ122" s="31"/>
    </row>
    <row r="123" spans="1:234" ht="14.25" customHeight="1" x14ac:dyDescent="0.35">
      <c r="A123" s="88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30"/>
      <c r="U123" s="27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31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  <c r="BS123" s="31"/>
      <c r="BT123" s="31"/>
      <c r="BU123" s="31"/>
      <c r="BV123" s="31"/>
      <c r="BW123" s="31"/>
      <c r="BX123" s="31"/>
      <c r="BY123" s="31"/>
      <c r="BZ123" s="31"/>
      <c r="CA123" s="31"/>
      <c r="CB123" s="31"/>
      <c r="CC123" s="31"/>
      <c r="CD123" s="31"/>
      <c r="CE123" s="31"/>
      <c r="CF123" s="31"/>
      <c r="CG123" s="31"/>
      <c r="CH123" s="31"/>
      <c r="CI123" s="31"/>
      <c r="CJ123" s="31"/>
      <c r="CK123" s="31"/>
      <c r="CL123" s="31"/>
      <c r="CM123" s="31"/>
      <c r="CN123" s="31"/>
      <c r="CO123" s="31"/>
      <c r="CP123" s="31"/>
      <c r="CQ123" s="31"/>
      <c r="CR123" s="31"/>
      <c r="CS123" s="31"/>
      <c r="CT123" s="31"/>
      <c r="CU123" s="31"/>
      <c r="CV123" s="31"/>
      <c r="CW123" s="31"/>
      <c r="CX123" s="31"/>
      <c r="CY123" s="31"/>
      <c r="CZ123" s="31"/>
      <c r="DA123" s="31"/>
      <c r="DB123" s="31"/>
      <c r="DC123" s="31"/>
      <c r="DD123" s="31"/>
      <c r="DE123" s="31"/>
      <c r="DF123" s="31"/>
      <c r="DG123" s="31"/>
      <c r="DH123" s="31"/>
      <c r="DI123" s="31"/>
      <c r="DJ123" s="31"/>
      <c r="DK123" s="31"/>
      <c r="DL123" s="31"/>
      <c r="DM123" s="31"/>
      <c r="DN123" s="31"/>
      <c r="DO123" s="31"/>
      <c r="DP123" s="31"/>
      <c r="DQ123" s="31"/>
      <c r="DR123" s="31"/>
      <c r="DS123" s="31"/>
      <c r="DT123" s="31"/>
      <c r="DU123" s="31"/>
      <c r="DV123" s="31"/>
      <c r="DW123" s="31"/>
      <c r="DX123" s="31"/>
      <c r="DY123" s="31"/>
      <c r="DZ123" s="31"/>
      <c r="EA123" s="31"/>
      <c r="EB123" s="31"/>
      <c r="EC123" s="31"/>
      <c r="ED123" s="31"/>
      <c r="EE123" s="31"/>
      <c r="EF123" s="31"/>
      <c r="EG123" s="31"/>
      <c r="EH123" s="31"/>
      <c r="EI123" s="31"/>
      <c r="EJ123" s="31"/>
      <c r="EK123" s="31"/>
      <c r="EL123" s="31"/>
      <c r="EM123" s="31"/>
      <c r="EN123" s="31"/>
      <c r="EO123" s="31"/>
      <c r="EP123" s="31"/>
      <c r="EQ123" s="31"/>
      <c r="ER123" s="31"/>
      <c r="ES123" s="31"/>
      <c r="ET123" s="31"/>
      <c r="EU123" s="31"/>
      <c r="EV123" s="31"/>
      <c r="EW123" s="31"/>
      <c r="EX123" s="31"/>
      <c r="EY123" s="31"/>
      <c r="EZ123" s="31"/>
      <c r="FA123" s="31"/>
      <c r="FB123" s="31"/>
      <c r="FC123" s="31"/>
      <c r="FD123" s="31"/>
      <c r="FE123" s="31"/>
      <c r="FF123" s="31"/>
      <c r="FG123" s="31"/>
      <c r="FH123" s="31"/>
      <c r="FI123" s="31"/>
      <c r="FJ123" s="31"/>
      <c r="FK123" s="31"/>
      <c r="FL123" s="31"/>
      <c r="FM123" s="31"/>
      <c r="FN123" s="31"/>
      <c r="FO123" s="31"/>
      <c r="FP123" s="31"/>
      <c r="FQ123" s="31"/>
      <c r="FR123" s="31"/>
      <c r="FS123" s="31"/>
      <c r="FT123" s="31"/>
      <c r="FU123" s="31"/>
      <c r="FV123" s="31"/>
      <c r="FW123" s="31"/>
      <c r="FX123" s="31"/>
      <c r="FY123" s="31"/>
      <c r="FZ123" s="31"/>
      <c r="GA123" s="31"/>
      <c r="GB123" s="31"/>
      <c r="GC123" s="31"/>
      <c r="GD123" s="31"/>
      <c r="GE123" s="31"/>
      <c r="GF123" s="31"/>
      <c r="GG123" s="31"/>
      <c r="GH123" s="31"/>
      <c r="GI123" s="31"/>
      <c r="GJ123" s="31"/>
      <c r="GK123" s="31"/>
      <c r="GL123" s="31"/>
      <c r="GM123" s="31"/>
      <c r="GN123" s="31"/>
      <c r="GO123" s="31"/>
      <c r="GP123" s="31"/>
      <c r="GQ123" s="31"/>
      <c r="GR123" s="31"/>
      <c r="GS123" s="31"/>
      <c r="GT123" s="31"/>
      <c r="GU123" s="31"/>
      <c r="GV123" s="31"/>
      <c r="GW123" s="31"/>
      <c r="GX123" s="31"/>
      <c r="GY123" s="31"/>
      <c r="GZ123" s="31"/>
      <c r="HA123" s="31"/>
      <c r="HB123" s="31"/>
      <c r="HC123" s="31"/>
      <c r="HD123" s="31"/>
      <c r="HE123" s="31"/>
      <c r="HF123" s="31"/>
      <c r="HG123" s="31"/>
      <c r="HH123" s="31"/>
      <c r="HI123" s="31"/>
      <c r="HJ123" s="31"/>
      <c r="HK123" s="31"/>
      <c r="HL123" s="31"/>
      <c r="HM123" s="31"/>
      <c r="HN123" s="31"/>
      <c r="HO123" s="31"/>
      <c r="HP123" s="31"/>
      <c r="HQ123" s="31"/>
      <c r="HR123" s="31"/>
      <c r="HS123" s="31"/>
      <c r="HT123" s="31"/>
      <c r="HU123" s="31"/>
      <c r="HV123" s="31"/>
      <c r="HW123" s="31"/>
      <c r="HX123" s="31"/>
      <c r="HY123" s="31"/>
      <c r="HZ123" s="31"/>
    </row>
    <row r="124" spans="1:234" ht="14.25" customHeight="1" x14ac:dyDescent="0.35">
      <c r="A124" s="88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30"/>
      <c r="U124" s="27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  <c r="BS124" s="31"/>
      <c r="BT124" s="31"/>
      <c r="BU124" s="31"/>
      <c r="BV124" s="31"/>
      <c r="BW124" s="31"/>
      <c r="BX124" s="31"/>
      <c r="BY124" s="31"/>
      <c r="BZ124" s="31"/>
      <c r="CA124" s="31"/>
      <c r="CB124" s="31"/>
      <c r="CC124" s="31"/>
      <c r="CD124" s="31"/>
      <c r="CE124" s="31"/>
      <c r="CF124" s="31"/>
      <c r="CG124" s="31"/>
      <c r="CH124" s="31"/>
      <c r="CI124" s="31"/>
      <c r="CJ124" s="31"/>
      <c r="CK124" s="31"/>
      <c r="CL124" s="31"/>
      <c r="CM124" s="31"/>
      <c r="CN124" s="31"/>
      <c r="CO124" s="31"/>
      <c r="CP124" s="31"/>
      <c r="CQ124" s="31"/>
      <c r="CR124" s="31"/>
      <c r="CS124" s="31"/>
      <c r="CT124" s="31"/>
      <c r="CU124" s="31"/>
      <c r="CV124" s="31"/>
      <c r="CW124" s="31"/>
      <c r="CX124" s="31"/>
      <c r="CY124" s="31"/>
      <c r="CZ124" s="31"/>
      <c r="DA124" s="31"/>
      <c r="DB124" s="31"/>
      <c r="DC124" s="31"/>
      <c r="DD124" s="31"/>
      <c r="DE124" s="31"/>
      <c r="DF124" s="31"/>
      <c r="DG124" s="31"/>
      <c r="DH124" s="31"/>
      <c r="DI124" s="31"/>
      <c r="DJ124" s="31"/>
      <c r="DK124" s="31"/>
      <c r="DL124" s="31"/>
      <c r="DM124" s="31"/>
      <c r="DN124" s="31"/>
      <c r="DO124" s="31"/>
      <c r="DP124" s="31"/>
      <c r="DQ124" s="31"/>
      <c r="DR124" s="31"/>
      <c r="DS124" s="31"/>
      <c r="DT124" s="31"/>
      <c r="DU124" s="31"/>
      <c r="DV124" s="31"/>
      <c r="DW124" s="31"/>
      <c r="DX124" s="31"/>
      <c r="DY124" s="31"/>
      <c r="DZ124" s="31"/>
      <c r="EA124" s="31"/>
      <c r="EB124" s="31"/>
      <c r="EC124" s="31"/>
      <c r="ED124" s="31"/>
      <c r="EE124" s="31"/>
      <c r="EF124" s="31"/>
      <c r="EG124" s="31"/>
      <c r="EH124" s="31"/>
      <c r="EI124" s="31"/>
      <c r="EJ124" s="31"/>
      <c r="EK124" s="31"/>
      <c r="EL124" s="31"/>
      <c r="EM124" s="31"/>
      <c r="EN124" s="31"/>
      <c r="EO124" s="31"/>
      <c r="EP124" s="31"/>
      <c r="EQ124" s="31"/>
      <c r="ER124" s="31"/>
      <c r="ES124" s="31"/>
      <c r="ET124" s="31"/>
      <c r="EU124" s="31"/>
      <c r="EV124" s="31"/>
      <c r="EW124" s="31"/>
      <c r="EX124" s="31"/>
      <c r="EY124" s="31"/>
      <c r="EZ124" s="31"/>
      <c r="FA124" s="31"/>
      <c r="FB124" s="31"/>
      <c r="FC124" s="31"/>
      <c r="FD124" s="31"/>
      <c r="FE124" s="31"/>
      <c r="FF124" s="31"/>
      <c r="FG124" s="31"/>
      <c r="FH124" s="31"/>
      <c r="FI124" s="31"/>
      <c r="FJ124" s="31"/>
      <c r="FK124" s="31"/>
      <c r="FL124" s="31"/>
      <c r="FM124" s="31"/>
      <c r="FN124" s="31"/>
      <c r="FO124" s="31"/>
      <c r="FP124" s="31"/>
      <c r="FQ124" s="31"/>
      <c r="FR124" s="31"/>
      <c r="FS124" s="31"/>
      <c r="FT124" s="31"/>
      <c r="FU124" s="31"/>
      <c r="FV124" s="31"/>
      <c r="FW124" s="31"/>
      <c r="FX124" s="31"/>
      <c r="FY124" s="31"/>
      <c r="FZ124" s="31"/>
      <c r="GA124" s="31"/>
      <c r="GB124" s="31"/>
      <c r="GC124" s="31"/>
      <c r="GD124" s="31"/>
      <c r="GE124" s="31"/>
      <c r="GF124" s="31"/>
      <c r="GG124" s="31"/>
      <c r="GH124" s="31"/>
      <c r="GI124" s="31"/>
      <c r="GJ124" s="31"/>
      <c r="GK124" s="31"/>
      <c r="GL124" s="31"/>
      <c r="GM124" s="31"/>
      <c r="GN124" s="31"/>
      <c r="GO124" s="31"/>
      <c r="GP124" s="31"/>
      <c r="GQ124" s="31"/>
      <c r="GR124" s="31"/>
      <c r="GS124" s="31"/>
      <c r="GT124" s="31"/>
      <c r="GU124" s="31"/>
      <c r="GV124" s="31"/>
      <c r="GW124" s="31"/>
      <c r="GX124" s="31"/>
      <c r="GY124" s="31"/>
      <c r="GZ124" s="31"/>
      <c r="HA124" s="31"/>
      <c r="HB124" s="31"/>
      <c r="HC124" s="31"/>
      <c r="HD124" s="31"/>
      <c r="HE124" s="31"/>
      <c r="HF124" s="31"/>
      <c r="HG124" s="31"/>
      <c r="HH124" s="31"/>
      <c r="HI124" s="31"/>
      <c r="HJ124" s="31"/>
      <c r="HK124" s="31"/>
      <c r="HL124" s="31"/>
      <c r="HM124" s="31"/>
      <c r="HN124" s="31"/>
      <c r="HO124" s="31"/>
      <c r="HP124" s="31"/>
      <c r="HQ124" s="31"/>
      <c r="HR124" s="31"/>
      <c r="HS124" s="31"/>
      <c r="HT124" s="31"/>
      <c r="HU124" s="31"/>
      <c r="HV124" s="31"/>
      <c r="HW124" s="31"/>
      <c r="HX124" s="31"/>
      <c r="HY124" s="31"/>
      <c r="HZ124" s="31"/>
    </row>
    <row r="125" spans="1:234" ht="14.25" customHeight="1" x14ac:dyDescent="0.35">
      <c r="A125" s="88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30"/>
      <c r="U125" s="27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31"/>
      <c r="BH125" s="31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  <c r="BS125" s="31"/>
      <c r="BT125" s="31"/>
      <c r="BU125" s="31"/>
      <c r="BV125" s="31"/>
      <c r="BW125" s="31"/>
      <c r="BX125" s="31"/>
      <c r="BY125" s="31"/>
      <c r="BZ125" s="31"/>
      <c r="CA125" s="31"/>
      <c r="CB125" s="31"/>
      <c r="CC125" s="31"/>
      <c r="CD125" s="31"/>
      <c r="CE125" s="31"/>
      <c r="CF125" s="31"/>
      <c r="CG125" s="31"/>
      <c r="CH125" s="31"/>
      <c r="CI125" s="31"/>
      <c r="CJ125" s="31"/>
      <c r="CK125" s="31"/>
      <c r="CL125" s="31"/>
      <c r="CM125" s="31"/>
      <c r="CN125" s="31"/>
      <c r="CO125" s="31"/>
      <c r="CP125" s="31"/>
      <c r="CQ125" s="31"/>
      <c r="CR125" s="31"/>
      <c r="CS125" s="31"/>
      <c r="CT125" s="31"/>
      <c r="CU125" s="31"/>
      <c r="CV125" s="31"/>
      <c r="CW125" s="31"/>
      <c r="CX125" s="31"/>
      <c r="CY125" s="31"/>
      <c r="CZ125" s="31"/>
      <c r="DA125" s="31"/>
      <c r="DB125" s="31"/>
      <c r="DC125" s="31"/>
      <c r="DD125" s="31"/>
      <c r="DE125" s="31"/>
      <c r="DF125" s="31"/>
      <c r="DG125" s="31"/>
      <c r="DH125" s="31"/>
      <c r="DI125" s="31"/>
      <c r="DJ125" s="31"/>
      <c r="DK125" s="31"/>
      <c r="DL125" s="31"/>
      <c r="DM125" s="31"/>
      <c r="DN125" s="31"/>
      <c r="DO125" s="31"/>
      <c r="DP125" s="31"/>
      <c r="DQ125" s="31"/>
      <c r="DR125" s="31"/>
      <c r="DS125" s="31"/>
      <c r="DT125" s="31"/>
      <c r="DU125" s="31"/>
      <c r="DV125" s="31"/>
      <c r="DW125" s="31"/>
      <c r="DX125" s="31"/>
      <c r="DY125" s="31"/>
      <c r="DZ125" s="31"/>
      <c r="EA125" s="31"/>
      <c r="EB125" s="31"/>
      <c r="EC125" s="31"/>
      <c r="ED125" s="31"/>
      <c r="EE125" s="31"/>
      <c r="EF125" s="31"/>
      <c r="EG125" s="31"/>
      <c r="EH125" s="31"/>
      <c r="EI125" s="31"/>
      <c r="EJ125" s="31"/>
      <c r="EK125" s="31"/>
      <c r="EL125" s="31"/>
      <c r="EM125" s="31"/>
      <c r="EN125" s="31"/>
      <c r="EO125" s="31"/>
      <c r="EP125" s="31"/>
      <c r="EQ125" s="31"/>
      <c r="ER125" s="31"/>
      <c r="ES125" s="31"/>
      <c r="ET125" s="31"/>
      <c r="EU125" s="31"/>
      <c r="EV125" s="31"/>
      <c r="EW125" s="31"/>
      <c r="EX125" s="31"/>
      <c r="EY125" s="31"/>
      <c r="EZ125" s="31"/>
      <c r="FA125" s="31"/>
      <c r="FB125" s="31"/>
      <c r="FC125" s="31"/>
      <c r="FD125" s="31"/>
      <c r="FE125" s="31"/>
      <c r="FF125" s="31"/>
      <c r="FG125" s="31"/>
      <c r="FH125" s="31"/>
      <c r="FI125" s="31"/>
      <c r="FJ125" s="31"/>
      <c r="FK125" s="31"/>
      <c r="FL125" s="31"/>
      <c r="FM125" s="31"/>
      <c r="FN125" s="31"/>
      <c r="FO125" s="31"/>
      <c r="FP125" s="31"/>
      <c r="FQ125" s="31"/>
      <c r="FR125" s="31"/>
      <c r="FS125" s="31"/>
      <c r="FT125" s="31"/>
      <c r="FU125" s="31"/>
      <c r="FV125" s="31"/>
      <c r="FW125" s="31"/>
      <c r="FX125" s="31"/>
      <c r="FY125" s="31"/>
      <c r="FZ125" s="31"/>
      <c r="GA125" s="31"/>
      <c r="GB125" s="31"/>
      <c r="GC125" s="31"/>
      <c r="GD125" s="31"/>
      <c r="GE125" s="31"/>
      <c r="GF125" s="31"/>
      <c r="GG125" s="31"/>
      <c r="GH125" s="31"/>
      <c r="GI125" s="31"/>
      <c r="GJ125" s="31"/>
      <c r="GK125" s="31"/>
      <c r="GL125" s="31"/>
      <c r="GM125" s="31"/>
      <c r="GN125" s="31"/>
      <c r="GO125" s="31"/>
      <c r="GP125" s="31"/>
      <c r="GQ125" s="31"/>
      <c r="GR125" s="31"/>
      <c r="GS125" s="31"/>
      <c r="GT125" s="31"/>
      <c r="GU125" s="31"/>
      <c r="GV125" s="31"/>
      <c r="GW125" s="31"/>
      <c r="GX125" s="31"/>
      <c r="GY125" s="31"/>
      <c r="GZ125" s="31"/>
      <c r="HA125" s="31"/>
      <c r="HB125" s="31"/>
      <c r="HC125" s="31"/>
      <c r="HD125" s="31"/>
      <c r="HE125" s="31"/>
      <c r="HF125" s="31"/>
      <c r="HG125" s="31"/>
      <c r="HH125" s="31"/>
      <c r="HI125" s="31"/>
      <c r="HJ125" s="31"/>
      <c r="HK125" s="31"/>
      <c r="HL125" s="31"/>
      <c r="HM125" s="31"/>
      <c r="HN125" s="31"/>
      <c r="HO125" s="31"/>
      <c r="HP125" s="31"/>
      <c r="HQ125" s="31"/>
      <c r="HR125" s="31"/>
      <c r="HS125" s="31"/>
      <c r="HT125" s="31"/>
      <c r="HU125" s="31"/>
      <c r="HV125" s="31"/>
      <c r="HW125" s="31"/>
      <c r="HX125" s="31"/>
      <c r="HY125" s="31"/>
      <c r="HZ125" s="31"/>
    </row>
    <row r="126" spans="1:234" ht="14.25" customHeight="1" x14ac:dyDescent="0.35">
      <c r="A126" s="88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30"/>
      <c r="U126" s="27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  <c r="BE126" s="31"/>
      <c r="BF126" s="31"/>
      <c r="BG126" s="31"/>
      <c r="BH126" s="31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  <c r="BS126" s="31"/>
      <c r="BT126" s="31"/>
      <c r="BU126" s="31"/>
      <c r="BV126" s="31"/>
      <c r="BW126" s="31"/>
      <c r="BX126" s="31"/>
      <c r="BY126" s="31"/>
      <c r="BZ126" s="31"/>
      <c r="CA126" s="31"/>
      <c r="CB126" s="31"/>
      <c r="CC126" s="31"/>
      <c r="CD126" s="31"/>
      <c r="CE126" s="31"/>
      <c r="CF126" s="31"/>
      <c r="CG126" s="31"/>
      <c r="CH126" s="31"/>
      <c r="CI126" s="31"/>
      <c r="CJ126" s="31"/>
      <c r="CK126" s="31"/>
      <c r="CL126" s="31"/>
      <c r="CM126" s="31"/>
      <c r="CN126" s="31"/>
      <c r="CO126" s="31"/>
      <c r="CP126" s="31"/>
      <c r="CQ126" s="31"/>
      <c r="CR126" s="31"/>
      <c r="CS126" s="31"/>
      <c r="CT126" s="31"/>
      <c r="CU126" s="31"/>
      <c r="CV126" s="31"/>
      <c r="CW126" s="31"/>
      <c r="CX126" s="31"/>
      <c r="CY126" s="31"/>
      <c r="CZ126" s="31"/>
      <c r="DA126" s="31"/>
      <c r="DB126" s="31"/>
      <c r="DC126" s="31"/>
      <c r="DD126" s="31"/>
      <c r="DE126" s="31"/>
      <c r="DF126" s="31"/>
      <c r="DG126" s="31"/>
      <c r="DH126" s="31"/>
      <c r="DI126" s="31"/>
      <c r="DJ126" s="31"/>
      <c r="DK126" s="31"/>
      <c r="DL126" s="31"/>
      <c r="DM126" s="31"/>
      <c r="DN126" s="31"/>
      <c r="DO126" s="31"/>
      <c r="DP126" s="31"/>
      <c r="DQ126" s="31"/>
      <c r="DR126" s="31"/>
      <c r="DS126" s="31"/>
      <c r="DT126" s="31"/>
      <c r="DU126" s="31"/>
      <c r="DV126" s="31"/>
      <c r="DW126" s="31"/>
      <c r="DX126" s="31"/>
      <c r="DY126" s="31"/>
      <c r="DZ126" s="31"/>
      <c r="EA126" s="31"/>
      <c r="EB126" s="31"/>
      <c r="EC126" s="31"/>
      <c r="ED126" s="31"/>
      <c r="EE126" s="31"/>
      <c r="EF126" s="31"/>
      <c r="EG126" s="31"/>
      <c r="EH126" s="31"/>
      <c r="EI126" s="31"/>
      <c r="EJ126" s="31"/>
      <c r="EK126" s="31"/>
      <c r="EL126" s="31"/>
      <c r="EM126" s="31"/>
      <c r="EN126" s="31"/>
      <c r="EO126" s="31"/>
      <c r="EP126" s="31"/>
      <c r="EQ126" s="31"/>
      <c r="ER126" s="31"/>
      <c r="ES126" s="31"/>
      <c r="ET126" s="31"/>
      <c r="EU126" s="31"/>
      <c r="EV126" s="31"/>
      <c r="EW126" s="31"/>
      <c r="EX126" s="31"/>
      <c r="EY126" s="31"/>
      <c r="EZ126" s="31"/>
      <c r="FA126" s="31"/>
      <c r="FB126" s="31"/>
      <c r="FC126" s="31"/>
      <c r="FD126" s="31"/>
      <c r="FE126" s="31"/>
      <c r="FF126" s="31"/>
      <c r="FG126" s="31"/>
      <c r="FH126" s="31"/>
      <c r="FI126" s="31"/>
      <c r="FJ126" s="31"/>
      <c r="FK126" s="31"/>
      <c r="FL126" s="31"/>
      <c r="FM126" s="31"/>
      <c r="FN126" s="31"/>
      <c r="FO126" s="31"/>
      <c r="FP126" s="31"/>
      <c r="FQ126" s="31"/>
      <c r="FR126" s="31"/>
      <c r="FS126" s="31"/>
      <c r="FT126" s="31"/>
      <c r="FU126" s="31"/>
      <c r="FV126" s="31"/>
      <c r="FW126" s="31"/>
      <c r="FX126" s="31"/>
      <c r="FY126" s="31"/>
      <c r="FZ126" s="31"/>
      <c r="GA126" s="31"/>
      <c r="GB126" s="31"/>
      <c r="GC126" s="31"/>
      <c r="GD126" s="31"/>
      <c r="GE126" s="31"/>
      <c r="GF126" s="31"/>
      <c r="GG126" s="31"/>
      <c r="GH126" s="31"/>
      <c r="GI126" s="31"/>
      <c r="GJ126" s="31"/>
      <c r="GK126" s="31"/>
      <c r="GL126" s="31"/>
      <c r="GM126" s="31"/>
      <c r="GN126" s="31"/>
      <c r="GO126" s="31"/>
      <c r="GP126" s="31"/>
      <c r="GQ126" s="31"/>
      <c r="GR126" s="31"/>
      <c r="GS126" s="31"/>
      <c r="GT126" s="31"/>
      <c r="GU126" s="31"/>
      <c r="GV126" s="31"/>
      <c r="GW126" s="31"/>
      <c r="GX126" s="31"/>
      <c r="GY126" s="31"/>
      <c r="GZ126" s="31"/>
      <c r="HA126" s="31"/>
      <c r="HB126" s="31"/>
      <c r="HC126" s="31"/>
      <c r="HD126" s="31"/>
      <c r="HE126" s="31"/>
      <c r="HF126" s="31"/>
      <c r="HG126" s="31"/>
      <c r="HH126" s="31"/>
      <c r="HI126" s="31"/>
      <c r="HJ126" s="31"/>
      <c r="HK126" s="31"/>
      <c r="HL126" s="31"/>
      <c r="HM126" s="31"/>
      <c r="HN126" s="31"/>
      <c r="HO126" s="31"/>
      <c r="HP126" s="31"/>
      <c r="HQ126" s="31"/>
      <c r="HR126" s="31"/>
      <c r="HS126" s="31"/>
      <c r="HT126" s="31"/>
      <c r="HU126" s="31"/>
      <c r="HV126" s="31"/>
      <c r="HW126" s="31"/>
      <c r="HX126" s="31"/>
      <c r="HY126" s="31"/>
      <c r="HZ126" s="31"/>
    </row>
    <row r="127" spans="1:234" ht="14.25" customHeight="1" x14ac:dyDescent="0.35">
      <c r="A127" s="88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30"/>
      <c r="U127" s="27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/>
      <c r="BH127" s="31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  <c r="BS127" s="31"/>
      <c r="BT127" s="31"/>
      <c r="BU127" s="31"/>
      <c r="BV127" s="31"/>
      <c r="BW127" s="31"/>
      <c r="BX127" s="31"/>
      <c r="BY127" s="31"/>
      <c r="BZ127" s="31"/>
      <c r="CA127" s="31"/>
      <c r="CB127" s="31"/>
      <c r="CC127" s="31"/>
      <c r="CD127" s="31"/>
      <c r="CE127" s="31"/>
      <c r="CF127" s="31"/>
      <c r="CG127" s="31"/>
      <c r="CH127" s="31"/>
      <c r="CI127" s="31"/>
      <c r="CJ127" s="31"/>
      <c r="CK127" s="31"/>
      <c r="CL127" s="31"/>
      <c r="CM127" s="31"/>
      <c r="CN127" s="31"/>
      <c r="CO127" s="31"/>
      <c r="CP127" s="31"/>
      <c r="CQ127" s="31"/>
      <c r="CR127" s="31"/>
      <c r="CS127" s="31"/>
      <c r="CT127" s="31"/>
      <c r="CU127" s="31"/>
      <c r="CV127" s="31"/>
      <c r="CW127" s="31"/>
      <c r="CX127" s="31"/>
      <c r="CY127" s="31"/>
      <c r="CZ127" s="31"/>
      <c r="DA127" s="31"/>
      <c r="DB127" s="31"/>
      <c r="DC127" s="31"/>
      <c r="DD127" s="31"/>
      <c r="DE127" s="31"/>
      <c r="DF127" s="31"/>
      <c r="DG127" s="31"/>
      <c r="DH127" s="31"/>
      <c r="DI127" s="31"/>
      <c r="DJ127" s="31"/>
      <c r="DK127" s="31"/>
      <c r="DL127" s="31"/>
      <c r="DM127" s="31"/>
      <c r="DN127" s="31"/>
      <c r="DO127" s="31"/>
      <c r="DP127" s="31"/>
      <c r="DQ127" s="31"/>
      <c r="DR127" s="31"/>
      <c r="DS127" s="31"/>
      <c r="DT127" s="31"/>
      <c r="DU127" s="31"/>
      <c r="DV127" s="31"/>
      <c r="DW127" s="31"/>
      <c r="DX127" s="31"/>
      <c r="DY127" s="31"/>
      <c r="DZ127" s="31"/>
      <c r="EA127" s="31"/>
      <c r="EB127" s="31"/>
      <c r="EC127" s="31"/>
      <c r="ED127" s="31"/>
      <c r="EE127" s="31"/>
      <c r="EF127" s="31"/>
      <c r="EG127" s="31"/>
      <c r="EH127" s="31"/>
      <c r="EI127" s="31"/>
      <c r="EJ127" s="31"/>
      <c r="EK127" s="31"/>
      <c r="EL127" s="31"/>
      <c r="EM127" s="31"/>
      <c r="EN127" s="31"/>
      <c r="EO127" s="31"/>
      <c r="EP127" s="31"/>
      <c r="EQ127" s="31"/>
      <c r="ER127" s="31"/>
      <c r="ES127" s="31"/>
      <c r="ET127" s="31"/>
      <c r="EU127" s="31"/>
      <c r="EV127" s="31"/>
      <c r="EW127" s="31"/>
      <c r="EX127" s="31"/>
      <c r="EY127" s="31"/>
      <c r="EZ127" s="31"/>
      <c r="FA127" s="31"/>
      <c r="FB127" s="31"/>
      <c r="FC127" s="31"/>
      <c r="FD127" s="31"/>
      <c r="FE127" s="31"/>
      <c r="FF127" s="31"/>
      <c r="FG127" s="31"/>
      <c r="FH127" s="31"/>
      <c r="FI127" s="31"/>
      <c r="FJ127" s="31"/>
      <c r="FK127" s="31"/>
      <c r="FL127" s="31"/>
      <c r="FM127" s="31"/>
      <c r="FN127" s="31"/>
      <c r="FO127" s="31"/>
      <c r="FP127" s="31"/>
      <c r="FQ127" s="31"/>
      <c r="FR127" s="31"/>
      <c r="FS127" s="31"/>
      <c r="FT127" s="31"/>
      <c r="FU127" s="31"/>
      <c r="FV127" s="31"/>
      <c r="FW127" s="31"/>
      <c r="FX127" s="31"/>
      <c r="FY127" s="31"/>
      <c r="FZ127" s="31"/>
      <c r="GA127" s="31"/>
      <c r="GB127" s="31"/>
      <c r="GC127" s="31"/>
      <c r="GD127" s="31"/>
      <c r="GE127" s="31"/>
      <c r="GF127" s="31"/>
      <c r="GG127" s="31"/>
      <c r="GH127" s="31"/>
      <c r="GI127" s="31"/>
      <c r="GJ127" s="31"/>
      <c r="GK127" s="31"/>
      <c r="GL127" s="31"/>
      <c r="GM127" s="31"/>
      <c r="GN127" s="31"/>
      <c r="GO127" s="31"/>
      <c r="GP127" s="31"/>
      <c r="GQ127" s="31"/>
      <c r="GR127" s="31"/>
      <c r="GS127" s="31"/>
      <c r="GT127" s="31"/>
      <c r="GU127" s="31"/>
      <c r="GV127" s="31"/>
      <c r="GW127" s="31"/>
      <c r="GX127" s="31"/>
      <c r="GY127" s="31"/>
      <c r="GZ127" s="31"/>
      <c r="HA127" s="31"/>
      <c r="HB127" s="31"/>
      <c r="HC127" s="31"/>
      <c r="HD127" s="31"/>
      <c r="HE127" s="31"/>
      <c r="HF127" s="31"/>
      <c r="HG127" s="31"/>
      <c r="HH127" s="31"/>
      <c r="HI127" s="31"/>
      <c r="HJ127" s="31"/>
      <c r="HK127" s="31"/>
      <c r="HL127" s="31"/>
      <c r="HM127" s="31"/>
      <c r="HN127" s="31"/>
      <c r="HO127" s="31"/>
      <c r="HP127" s="31"/>
      <c r="HQ127" s="31"/>
      <c r="HR127" s="31"/>
      <c r="HS127" s="31"/>
      <c r="HT127" s="31"/>
      <c r="HU127" s="31"/>
      <c r="HV127" s="31"/>
      <c r="HW127" s="31"/>
      <c r="HX127" s="31"/>
      <c r="HY127" s="31"/>
      <c r="HZ127" s="31"/>
    </row>
    <row r="128" spans="1:234" ht="14.25" customHeight="1" x14ac:dyDescent="0.35">
      <c r="A128" s="88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30"/>
      <c r="U128" s="27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31"/>
      <c r="BH128" s="31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  <c r="BS128" s="31"/>
      <c r="BT128" s="31"/>
      <c r="BU128" s="31"/>
      <c r="BV128" s="31"/>
      <c r="BW128" s="31"/>
      <c r="BX128" s="31"/>
      <c r="BY128" s="31"/>
      <c r="BZ128" s="31"/>
      <c r="CA128" s="31"/>
      <c r="CB128" s="31"/>
      <c r="CC128" s="31"/>
      <c r="CD128" s="31"/>
      <c r="CE128" s="31"/>
      <c r="CF128" s="31"/>
      <c r="CG128" s="31"/>
      <c r="CH128" s="31"/>
      <c r="CI128" s="31"/>
      <c r="CJ128" s="31"/>
      <c r="CK128" s="31"/>
      <c r="CL128" s="31"/>
      <c r="CM128" s="31"/>
      <c r="CN128" s="31"/>
      <c r="CO128" s="31"/>
      <c r="CP128" s="31"/>
      <c r="CQ128" s="31"/>
      <c r="CR128" s="31"/>
      <c r="CS128" s="31"/>
      <c r="CT128" s="31"/>
      <c r="CU128" s="31"/>
      <c r="CV128" s="31"/>
      <c r="CW128" s="31"/>
      <c r="CX128" s="31"/>
      <c r="CY128" s="31"/>
      <c r="CZ128" s="31"/>
      <c r="DA128" s="31"/>
      <c r="DB128" s="31"/>
      <c r="DC128" s="31"/>
      <c r="DD128" s="31"/>
      <c r="DE128" s="31"/>
      <c r="DF128" s="31"/>
      <c r="DG128" s="31"/>
      <c r="DH128" s="31"/>
      <c r="DI128" s="31"/>
      <c r="DJ128" s="31"/>
      <c r="DK128" s="31"/>
      <c r="DL128" s="31"/>
      <c r="DM128" s="31"/>
      <c r="DN128" s="31"/>
      <c r="DO128" s="31"/>
      <c r="DP128" s="31"/>
      <c r="DQ128" s="31"/>
      <c r="DR128" s="31"/>
      <c r="DS128" s="31"/>
      <c r="DT128" s="31"/>
      <c r="DU128" s="31"/>
      <c r="DV128" s="31"/>
      <c r="DW128" s="31"/>
      <c r="DX128" s="31"/>
      <c r="DY128" s="31"/>
      <c r="DZ128" s="31"/>
      <c r="EA128" s="31"/>
      <c r="EB128" s="31"/>
      <c r="EC128" s="31"/>
      <c r="ED128" s="31"/>
      <c r="EE128" s="31"/>
      <c r="EF128" s="31"/>
      <c r="EG128" s="31"/>
      <c r="EH128" s="31"/>
      <c r="EI128" s="31"/>
      <c r="EJ128" s="31"/>
      <c r="EK128" s="31"/>
      <c r="EL128" s="31"/>
      <c r="EM128" s="31"/>
      <c r="EN128" s="31"/>
      <c r="EO128" s="31"/>
      <c r="EP128" s="31"/>
      <c r="EQ128" s="31"/>
      <c r="ER128" s="31"/>
      <c r="ES128" s="31"/>
      <c r="ET128" s="31"/>
      <c r="EU128" s="31"/>
      <c r="EV128" s="31"/>
      <c r="EW128" s="31"/>
      <c r="EX128" s="31"/>
      <c r="EY128" s="31"/>
      <c r="EZ128" s="31"/>
      <c r="FA128" s="31"/>
      <c r="FB128" s="31"/>
      <c r="FC128" s="31"/>
      <c r="FD128" s="31"/>
      <c r="FE128" s="31"/>
      <c r="FF128" s="31"/>
      <c r="FG128" s="31"/>
      <c r="FH128" s="31"/>
      <c r="FI128" s="31"/>
      <c r="FJ128" s="31"/>
      <c r="FK128" s="31"/>
      <c r="FL128" s="31"/>
      <c r="FM128" s="31"/>
      <c r="FN128" s="31"/>
      <c r="FO128" s="31"/>
      <c r="FP128" s="31"/>
      <c r="FQ128" s="31"/>
      <c r="FR128" s="31"/>
      <c r="FS128" s="31"/>
      <c r="FT128" s="31"/>
      <c r="FU128" s="31"/>
      <c r="FV128" s="31"/>
      <c r="FW128" s="31"/>
      <c r="FX128" s="31"/>
      <c r="FY128" s="31"/>
      <c r="FZ128" s="31"/>
      <c r="GA128" s="31"/>
      <c r="GB128" s="31"/>
      <c r="GC128" s="31"/>
      <c r="GD128" s="31"/>
      <c r="GE128" s="31"/>
      <c r="GF128" s="31"/>
      <c r="GG128" s="31"/>
      <c r="GH128" s="31"/>
      <c r="GI128" s="31"/>
      <c r="GJ128" s="31"/>
      <c r="GK128" s="31"/>
      <c r="GL128" s="31"/>
      <c r="GM128" s="31"/>
      <c r="GN128" s="31"/>
      <c r="GO128" s="31"/>
      <c r="GP128" s="31"/>
      <c r="GQ128" s="31"/>
      <c r="GR128" s="31"/>
      <c r="GS128" s="31"/>
      <c r="GT128" s="31"/>
      <c r="GU128" s="31"/>
      <c r="GV128" s="31"/>
      <c r="GW128" s="31"/>
      <c r="GX128" s="31"/>
      <c r="GY128" s="31"/>
      <c r="GZ128" s="31"/>
      <c r="HA128" s="31"/>
      <c r="HB128" s="31"/>
      <c r="HC128" s="31"/>
      <c r="HD128" s="31"/>
      <c r="HE128" s="31"/>
      <c r="HF128" s="31"/>
      <c r="HG128" s="31"/>
      <c r="HH128" s="31"/>
      <c r="HI128" s="31"/>
      <c r="HJ128" s="31"/>
      <c r="HK128" s="31"/>
      <c r="HL128" s="31"/>
      <c r="HM128" s="31"/>
      <c r="HN128" s="31"/>
      <c r="HO128" s="31"/>
      <c r="HP128" s="31"/>
      <c r="HQ128" s="31"/>
      <c r="HR128" s="31"/>
      <c r="HS128" s="31"/>
      <c r="HT128" s="31"/>
      <c r="HU128" s="31"/>
      <c r="HV128" s="31"/>
      <c r="HW128" s="31"/>
      <c r="HX128" s="31"/>
      <c r="HY128" s="31"/>
      <c r="HZ128" s="31"/>
    </row>
    <row r="129" spans="1:234" ht="14.25" customHeight="1" x14ac:dyDescent="0.35">
      <c r="A129" s="88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30"/>
      <c r="U129" s="27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  <c r="BS129" s="31"/>
      <c r="BT129" s="31"/>
      <c r="BU129" s="31"/>
      <c r="BV129" s="31"/>
      <c r="BW129" s="31"/>
      <c r="BX129" s="31"/>
      <c r="BY129" s="31"/>
      <c r="BZ129" s="31"/>
      <c r="CA129" s="31"/>
      <c r="CB129" s="31"/>
      <c r="CC129" s="31"/>
      <c r="CD129" s="31"/>
      <c r="CE129" s="31"/>
      <c r="CF129" s="31"/>
      <c r="CG129" s="31"/>
      <c r="CH129" s="31"/>
      <c r="CI129" s="31"/>
      <c r="CJ129" s="31"/>
      <c r="CK129" s="31"/>
      <c r="CL129" s="31"/>
      <c r="CM129" s="31"/>
      <c r="CN129" s="31"/>
      <c r="CO129" s="31"/>
      <c r="CP129" s="31"/>
      <c r="CQ129" s="31"/>
      <c r="CR129" s="31"/>
      <c r="CS129" s="31"/>
      <c r="CT129" s="31"/>
      <c r="CU129" s="31"/>
      <c r="CV129" s="31"/>
      <c r="CW129" s="31"/>
      <c r="CX129" s="31"/>
      <c r="CY129" s="31"/>
      <c r="CZ129" s="31"/>
      <c r="DA129" s="31"/>
      <c r="DB129" s="31"/>
      <c r="DC129" s="31"/>
      <c r="DD129" s="31"/>
      <c r="DE129" s="31"/>
      <c r="DF129" s="31"/>
      <c r="DG129" s="31"/>
      <c r="DH129" s="31"/>
      <c r="DI129" s="31"/>
      <c r="DJ129" s="31"/>
      <c r="DK129" s="31"/>
      <c r="DL129" s="31"/>
      <c r="DM129" s="31"/>
      <c r="DN129" s="31"/>
      <c r="DO129" s="31"/>
      <c r="DP129" s="31"/>
      <c r="DQ129" s="31"/>
      <c r="DR129" s="31"/>
      <c r="DS129" s="31"/>
      <c r="DT129" s="31"/>
      <c r="DU129" s="31"/>
      <c r="DV129" s="31"/>
      <c r="DW129" s="31"/>
      <c r="DX129" s="31"/>
      <c r="DY129" s="31"/>
      <c r="DZ129" s="31"/>
      <c r="EA129" s="31"/>
      <c r="EB129" s="31"/>
      <c r="EC129" s="31"/>
      <c r="ED129" s="31"/>
      <c r="EE129" s="31"/>
      <c r="EF129" s="31"/>
      <c r="EG129" s="31"/>
      <c r="EH129" s="31"/>
      <c r="EI129" s="31"/>
      <c r="EJ129" s="31"/>
      <c r="EK129" s="31"/>
      <c r="EL129" s="31"/>
      <c r="EM129" s="31"/>
      <c r="EN129" s="31"/>
      <c r="EO129" s="31"/>
      <c r="EP129" s="31"/>
      <c r="EQ129" s="31"/>
      <c r="ER129" s="31"/>
      <c r="ES129" s="31"/>
      <c r="ET129" s="31"/>
      <c r="EU129" s="31"/>
      <c r="EV129" s="31"/>
      <c r="EW129" s="31"/>
      <c r="EX129" s="31"/>
      <c r="EY129" s="31"/>
      <c r="EZ129" s="31"/>
      <c r="FA129" s="31"/>
      <c r="FB129" s="31"/>
      <c r="FC129" s="31"/>
      <c r="FD129" s="31"/>
      <c r="FE129" s="31"/>
      <c r="FF129" s="31"/>
      <c r="FG129" s="31"/>
      <c r="FH129" s="31"/>
      <c r="FI129" s="31"/>
      <c r="FJ129" s="31"/>
      <c r="FK129" s="31"/>
      <c r="FL129" s="31"/>
      <c r="FM129" s="31"/>
      <c r="FN129" s="31"/>
      <c r="FO129" s="31"/>
      <c r="FP129" s="31"/>
      <c r="FQ129" s="31"/>
      <c r="FR129" s="31"/>
      <c r="FS129" s="31"/>
      <c r="FT129" s="31"/>
      <c r="FU129" s="31"/>
      <c r="FV129" s="31"/>
      <c r="FW129" s="31"/>
      <c r="FX129" s="31"/>
      <c r="FY129" s="31"/>
      <c r="FZ129" s="31"/>
      <c r="GA129" s="31"/>
      <c r="GB129" s="31"/>
      <c r="GC129" s="31"/>
      <c r="GD129" s="31"/>
      <c r="GE129" s="31"/>
      <c r="GF129" s="31"/>
      <c r="GG129" s="31"/>
      <c r="GH129" s="31"/>
      <c r="GI129" s="31"/>
      <c r="GJ129" s="31"/>
      <c r="GK129" s="31"/>
      <c r="GL129" s="31"/>
      <c r="GM129" s="31"/>
      <c r="GN129" s="31"/>
      <c r="GO129" s="31"/>
      <c r="GP129" s="31"/>
      <c r="GQ129" s="31"/>
      <c r="GR129" s="31"/>
      <c r="GS129" s="31"/>
      <c r="GT129" s="31"/>
      <c r="GU129" s="31"/>
      <c r="GV129" s="31"/>
      <c r="GW129" s="31"/>
      <c r="GX129" s="31"/>
      <c r="GY129" s="31"/>
      <c r="GZ129" s="31"/>
      <c r="HA129" s="31"/>
      <c r="HB129" s="31"/>
      <c r="HC129" s="31"/>
      <c r="HD129" s="31"/>
      <c r="HE129" s="31"/>
      <c r="HF129" s="31"/>
      <c r="HG129" s="31"/>
      <c r="HH129" s="31"/>
      <c r="HI129" s="31"/>
      <c r="HJ129" s="31"/>
      <c r="HK129" s="31"/>
      <c r="HL129" s="31"/>
      <c r="HM129" s="31"/>
      <c r="HN129" s="31"/>
      <c r="HO129" s="31"/>
      <c r="HP129" s="31"/>
      <c r="HQ129" s="31"/>
      <c r="HR129" s="31"/>
      <c r="HS129" s="31"/>
      <c r="HT129" s="31"/>
      <c r="HU129" s="31"/>
      <c r="HV129" s="31"/>
      <c r="HW129" s="31"/>
      <c r="HX129" s="31"/>
      <c r="HY129" s="31"/>
      <c r="HZ129" s="31"/>
    </row>
    <row r="130" spans="1:234" ht="14.25" customHeight="1" x14ac:dyDescent="0.35">
      <c r="A130" s="88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30"/>
      <c r="U130" s="27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31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  <c r="BS130" s="31"/>
      <c r="BT130" s="31"/>
      <c r="BU130" s="31"/>
      <c r="BV130" s="31"/>
      <c r="BW130" s="31"/>
      <c r="BX130" s="31"/>
      <c r="BY130" s="31"/>
      <c r="BZ130" s="31"/>
      <c r="CA130" s="31"/>
      <c r="CB130" s="31"/>
      <c r="CC130" s="31"/>
      <c r="CD130" s="31"/>
      <c r="CE130" s="31"/>
      <c r="CF130" s="31"/>
      <c r="CG130" s="31"/>
      <c r="CH130" s="31"/>
      <c r="CI130" s="31"/>
      <c r="CJ130" s="31"/>
      <c r="CK130" s="31"/>
      <c r="CL130" s="31"/>
      <c r="CM130" s="31"/>
      <c r="CN130" s="31"/>
      <c r="CO130" s="31"/>
      <c r="CP130" s="31"/>
      <c r="CQ130" s="31"/>
      <c r="CR130" s="31"/>
      <c r="CS130" s="31"/>
      <c r="CT130" s="31"/>
      <c r="CU130" s="31"/>
      <c r="CV130" s="31"/>
      <c r="CW130" s="31"/>
      <c r="CX130" s="31"/>
      <c r="CY130" s="31"/>
      <c r="CZ130" s="31"/>
      <c r="DA130" s="31"/>
      <c r="DB130" s="31"/>
      <c r="DC130" s="31"/>
      <c r="DD130" s="31"/>
      <c r="DE130" s="31"/>
      <c r="DF130" s="31"/>
      <c r="DG130" s="31"/>
      <c r="DH130" s="31"/>
      <c r="DI130" s="31"/>
      <c r="DJ130" s="31"/>
      <c r="DK130" s="31"/>
      <c r="DL130" s="31"/>
      <c r="DM130" s="31"/>
      <c r="DN130" s="31"/>
      <c r="DO130" s="31"/>
      <c r="DP130" s="31"/>
      <c r="DQ130" s="31"/>
      <c r="DR130" s="31"/>
      <c r="DS130" s="31"/>
      <c r="DT130" s="31"/>
      <c r="DU130" s="31"/>
      <c r="DV130" s="31"/>
      <c r="DW130" s="31"/>
      <c r="DX130" s="31"/>
      <c r="DY130" s="31"/>
      <c r="DZ130" s="31"/>
      <c r="EA130" s="31"/>
      <c r="EB130" s="31"/>
      <c r="EC130" s="31"/>
      <c r="ED130" s="31"/>
      <c r="EE130" s="31"/>
      <c r="EF130" s="31"/>
      <c r="EG130" s="31"/>
      <c r="EH130" s="31"/>
      <c r="EI130" s="31"/>
      <c r="EJ130" s="31"/>
      <c r="EK130" s="31"/>
      <c r="EL130" s="31"/>
      <c r="EM130" s="31"/>
      <c r="EN130" s="31"/>
      <c r="EO130" s="31"/>
      <c r="EP130" s="31"/>
      <c r="EQ130" s="31"/>
      <c r="ER130" s="31"/>
      <c r="ES130" s="31"/>
      <c r="ET130" s="31"/>
      <c r="EU130" s="31"/>
      <c r="EV130" s="31"/>
      <c r="EW130" s="31"/>
      <c r="EX130" s="31"/>
      <c r="EY130" s="31"/>
      <c r="EZ130" s="31"/>
      <c r="FA130" s="31"/>
      <c r="FB130" s="31"/>
      <c r="FC130" s="31"/>
      <c r="FD130" s="31"/>
      <c r="FE130" s="31"/>
      <c r="FF130" s="31"/>
      <c r="FG130" s="31"/>
      <c r="FH130" s="31"/>
      <c r="FI130" s="31"/>
      <c r="FJ130" s="31"/>
      <c r="FK130" s="31"/>
      <c r="FL130" s="31"/>
      <c r="FM130" s="31"/>
      <c r="FN130" s="31"/>
      <c r="FO130" s="31"/>
      <c r="FP130" s="31"/>
      <c r="FQ130" s="31"/>
      <c r="FR130" s="31"/>
      <c r="FS130" s="31"/>
      <c r="FT130" s="31"/>
      <c r="FU130" s="31"/>
      <c r="FV130" s="31"/>
      <c r="FW130" s="31"/>
      <c r="FX130" s="31"/>
      <c r="FY130" s="31"/>
      <c r="FZ130" s="31"/>
      <c r="GA130" s="31"/>
      <c r="GB130" s="31"/>
      <c r="GC130" s="31"/>
      <c r="GD130" s="31"/>
      <c r="GE130" s="31"/>
      <c r="GF130" s="31"/>
      <c r="GG130" s="31"/>
      <c r="GH130" s="31"/>
      <c r="GI130" s="31"/>
      <c r="GJ130" s="31"/>
      <c r="GK130" s="31"/>
      <c r="GL130" s="31"/>
      <c r="GM130" s="31"/>
      <c r="GN130" s="31"/>
      <c r="GO130" s="31"/>
      <c r="GP130" s="31"/>
      <c r="GQ130" s="31"/>
      <c r="GR130" s="31"/>
      <c r="GS130" s="31"/>
      <c r="GT130" s="31"/>
      <c r="GU130" s="31"/>
      <c r="GV130" s="31"/>
      <c r="GW130" s="31"/>
      <c r="GX130" s="31"/>
      <c r="GY130" s="31"/>
      <c r="GZ130" s="31"/>
      <c r="HA130" s="31"/>
      <c r="HB130" s="31"/>
      <c r="HC130" s="31"/>
      <c r="HD130" s="31"/>
      <c r="HE130" s="31"/>
      <c r="HF130" s="31"/>
      <c r="HG130" s="31"/>
      <c r="HH130" s="31"/>
      <c r="HI130" s="31"/>
      <c r="HJ130" s="31"/>
      <c r="HK130" s="31"/>
      <c r="HL130" s="31"/>
      <c r="HM130" s="31"/>
      <c r="HN130" s="31"/>
      <c r="HO130" s="31"/>
      <c r="HP130" s="31"/>
      <c r="HQ130" s="31"/>
      <c r="HR130" s="31"/>
      <c r="HS130" s="31"/>
      <c r="HT130" s="31"/>
      <c r="HU130" s="31"/>
      <c r="HV130" s="31"/>
      <c r="HW130" s="31"/>
      <c r="HX130" s="31"/>
      <c r="HY130" s="31"/>
      <c r="HZ130" s="31"/>
    </row>
    <row r="131" spans="1:234" ht="14.25" customHeight="1" x14ac:dyDescent="0.35">
      <c r="A131" s="88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30"/>
      <c r="U131" s="27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  <c r="BE131" s="31"/>
      <c r="BF131" s="31"/>
      <c r="BG131" s="31"/>
      <c r="BH131" s="31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  <c r="BS131" s="31"/>
      <c r="BT131" s="31"/>
      <c r="BU131" s="31"/>
      <c r="BV131" s="31"/>
      <c r="BW131" s="31"/>
      <c r="BX131" s="31"/>
      <c r="BY131" s="31"/>
      <c r="BZ131" s="31"/>
      <c r="CA131" s="31"/>
      <c r="CB131" s="31"/>
      <c r="CC131" s="31"/>
      <c r="CD131" s="31"/>
      <c r="CE131" s="31"/>
      <c r="CF131" s="31"/>
      <c r="CG131" s="31"/>
      <c r="CH131" s="31"/>
      <c r="CI131" s="31"/>
      <c r="CJ131" s="31"/>
      <c r="CK131" s="31"/>
      <c r="CL131" s="31"/>
      <c r="CM131" s="31"/>
      <c r="CN131" s="31"/>
      <c r="CO131" s="31"/>
      <c r="CP131" s="31"/>
      <c r="CQ131" s="31"/>
      <c r="CR131" s="31"/>
      <c r="CS131" s="31"/>
      <c r="CT131" s="31"/>
      <c r="CU131" s="31"/>
      <c r="CV131" s="31"/>
      <c r="CW131" s="31"/>
      <c r="CX131" s="31"/>
      <c r="CY131" s="31"/>
      <c r="CZ131" s="31"/>
      <c r="DA131" s="31"/>
      <c r="DB131" s="31"/>
      <c r="DC131" s="31"/>
      <c r="DD131" s="31"/>
      <c r="DE131" s="31"/>
      <c r="DF131" s="31"/>
      <c r="DG131" s="31"/>
      <c r="DH131" s="31"/>
      <c r="DI131" s="31"/>
      <c r="DJ131" s="31"/>
      <c r="DK131" s="31"/>
      <c r="DL131" s="31"/>
      <c r="DM131" s="31"/>
      <c r="DN131" s="31"/>
      <c r="DO131" s="31"/>
      <c r="DP131" s="31"/>
      <c r="DQ131" s="31"/>
      <c r="DR131" s="31"/>
      <c r="DS131" s="31"/>
      <c r="DT131" s="31"/>
      <c r="DU131" s="31"/>
      <c r="DV131" s="31"/>
      <c r="DW131" s="31"/>
      <c r="DX131" s="31"/>
      <c r="DY131" s="31"/>
      <c r="DZ131" s="31"/>
      <c r="EA131" s="31"/>
      <c r="EB131" s="31"/>
      <c r="EC131" s="31"/>
      <c r="ED131" s="31"/>
      <c r="EE131" s="31"/>
      <c r="EF131" s="31"/>
      <c r="EG131" s="31"/>
      <c r="EH131" s="31"/>
      <c r="EI131" s="31"/>
      <c r="EJ131" s="31"/>
      <c r="EK131" s="31"/>
      <c r="EL131" s="31"/>
      <c r="EM131" s="31"/>
      <c r="EN131" s="31"/>
      <c r="EO131" s="31"/>
      <c r="EP131" s="31"/>
      <c r="EQ131" s="31"/>
      <c r="ER131" s="31"/>
      <c r="ES131" s="31"/>
      <c r="ET131" s="31"/>
      <c r="EU131" s="31"/>
      <c r="EV131" s="31"/>
      <c r="EW131" s="31"/>
      <c r="EX131" s="31"/>
      <c r="EY131" s="31"/>
      <c r="EZ131" s="31"/>
      <c r="FA131" s="31"/>
      <c r="FB131" s="31"/>
      <c r="FC131" s="31"/>
      <c r="FD131" s="31"/>
      <c r="FE131" s="31"/>
      <c r="FF131" s="31"/>
      <c r="FG131" s="31"/>
      <c r="FH131" s="31"/>
      <c r="FI131" s="31"/>
      <c r="FJ131" s="31"/>
      <c r="FK131" s="31"/>
      <c r="FL131" s="31"/>
      <c r="FM131" s="31"/>
      <c r="FN131" s="31"/>
      <c r="FO131" s="31"/>
      <c r="FP131" s="31"/>
      <c r="FQ131" s="31"/>
      <c r="FR131" s="31"/>
      <c r="FS131" s="31"/>
      <c r="FT131" s="31"/>
      <c r="FU131" s="31"/>
      <c r="FV131" s="31"/>
      <c r="FW131" s="31"/>
      <c r="FX131" s="31"/>
      <c r="FY131" s="31"/>
      <c r="FZ131" s="31"/>
      <c r="GA131" s="31"/>
      <c r="GB131" s="31"/>
      <c r="GC131" s="31"/>
      <c r="GD131" s="31"/>
      <c r="GE131" s="31"/>
      <c r="GF131" s="31"/>
      <c r="GG131" s="31"/>
      <c r="GH131" s="31"/>
      <c r="GI131" s="31"/>
      <c r="GJ131" s="31"/>
      <c r="GK131" s="31"/>
      <c r="GL131" s="31"/>
      <c r="GM131" s="31"/>
      <c r="GN131" s="31"/>
      <c r="GO131" s="31"/>
      <c r="GP131" s="31"/>
      <c r="GQ131" s="31"/>
      <c r="GR131" s="31"/>
      <c r="GS131" s="31"/>
      <c r="GT131" s="31"/>
      <c r="GU131" s="31"/>
      <c r="GV131" s="31"/>
      <c r="GW131" s="31"/>
      <c r="GX131" s="31"/>
      <c r="GY131" s="31"/>
      <c r="GZ131" s="31"/>
      <c r="HA131" s="31"/>
      <c r="HB131" s="31"/>
      <c r="HC131" s="31"/>
      <c r="HD131" s="31"/>
      <c r="HE131" s="31"/>
      <c r="HF131" s="31"/>
      <c r="HG131" s="31"/>
      <c r="HH131" s="31"/>
      <c r="HI131" s="31"/>
      <c r="HJ131" s="31"/>
      <c r="HK131" s="31"/>
      <c r="HL131" s="31"/>
      <c r="HM131" s="31"/>
      <c r="HN131" s="31"/>
      <c r="HO131" s="31"/>
      <c r="HP131" s="31"/>
      <c r="HQ131" s="31"/>
      <c r="HR131" s="31"/>
      <c r="HS131" s="31"/>
      <c r="HT131" s="31"/>
      <c r="HU131" s="31"/>
      <c r="HV131" s="31"/>
      <c r="HW131" s="31"/>
      <c r="HX131" s="31"/>
      <c r="HY131" s="31"/>
      <c r="HZ131" s="31"/>
    </row>
    <row r="132" spans="1:234" ht="14.25" customHeight="1" x14ac:dyDescent="0.35">
      <c r="A132" s="88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30"/>
      <c r="U132" s="27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  <c r="BS132" s="31"/>
      <c r="BT132" s="31"/>
      <c r="BU132" s="31"/>
      <c r="BV132" s="31"/>
      <c r="BW132" s="31"/>
      <c r="BX132" s="31"/>
      <c r="BY132" s="31"/>
      <c r="BZ132" s="31"/>
      <c r="CA132" s="31"/>
      <c r="CB132" s="31"/>
      <c r="CC132" s="31"/>
      <c r="CD132" s="31"/>
      <c r="CE132" s="31"/>
      <c r="CF132" s="31"/>
      <c r="CG132" s="31"/>
      <c r="CH132" s="31"/>
      <c r="CI132" s="31"/>
      <c r="CJ132" s="31"/>
      <c r="CK132" s="31"/>
      <c r="CL132" s="31"/>
      <c r="CM132" s="31"/>
      <c r="CN132" s="31"/>
      <c r="CO132" s="31"/>
      <c r="CP132" s="31"/>
      <c r="CQ132" s="31"/>
      <c r="CR132" s="31"/>
      <c r="CS132" s="31"/>
      <c r="CT132" s="31"/>
      <c r="CU132" s="31"/>
      <c r="CV132" s="31"/>
      <c r="CW132" s="31"/>
      <c r="CX132" s="31"/>
      <c r="CY132" s="31"/>
      <c r="CZ132" s="31"/>
      <c r="DA132" s="31"/>
      <c r="DB132" s="31"/>
      <c r="DC132" s="31"/>
      <c r="DD132" s="31"/>
      <c r="DE132" s="31"/>
      <c r="DF132" s="31"/>
      <c r="DG132" s="31"/>
      <c r="DH132" s="31"/>
      <c r="DI132" s="31"/>
      <c r="DJ132" s="31"/>
      <c r="DK132" s="31"/>
      <c r="DL132" s="31"/>
      <c r="DM132" s="31"/>
      <c r="DN132" s="31"/>
      <c r="DO132" s="31"/>
      <c r="DP132" s="31"/>
      <c r="DQ132" s="31"/>
      <c r="DR132" s="31"/>
      <c r="DS132" s="31"/>
      <c r="DT132" s="31"/>
      <c r="DU132" s="31"/>
      <c r="DV132" s="31"/>
      <c r="DW132" s="31"/>
      <c r="DX132" s="31"/>
      <c r="DY132" s="31"/>
      <c r="DZ132" s="31"/>
      <c r="EA132" s="31"/>
      <c r="EB132" s="31"/>
      <c r="EC132" s="31"/>
      <c r="ED132" s="31"/>
      <c r="EE132" s="31"/>
      <c r="EF132" s="31"/>
      <c r="EG132" s="31"/>
      <c r="EH132" s="31"/>
      <c r="EI132" s="31"/>
      <c r="EJ132" s="31"/>
      <c r="EK132" s="31"/>
      <c r="EL132" s="31"/>
      <c r="EM132" s="31"/>
      <c r="EN132" s="31"/>
      <c r="EO132" s="31"/>
      <c r="EP132" s="31"/>
      <c r="EQ132" s="31"/>
      <c r="ER132" s="31"/>
      <c r="ES132" s="31"/>
      <c r="ET132" s="31"/>
      <c r="EU132" s="31"/>
      <c r="EV132" s="31"/>
      <c r="EW132" s="31"/>
      <c r="EX132" s="31"/>
      <c r="EY132" s="31"/>
      <c r="EZ132" s="31"/>
      <c r="FA132" s="31"/>
      <c r="FB132" s="31"/>
      <c r="FC132" s="31"/>
      <c r="FD132" s="31"/>
      <c r="FE132" s="31"/>
      <c r="FF132" s="31"/>
      <c r="FG132" s="31"/>
      <c r="FH132" s="31"/>
      <c r="FI132" s="31"/>
      <c r="FJ132" s="31"/>
      <c r="FK132" s="31"/>
      <c r="FL132" s="31"/>
      <c r="FM132" s="31"/>
      <c r="FN132" s="31"/>
      <c r="FO132" s="31"/>
      <c r="FP132" s="31"/>
      <c r="FQ132" s="31"/>
      <c r="FR132" s="31"/>
      <c r="FS132" s="31"/>
      <c r="FT132" s="31"/>
      <c r="FU132" s="31"/>
      <c r="FV132" s="31"/>
      <c r="FW132" s="31"/>
      <c r="FX132" s="31"/>
      <c r="FY132" s="31"/>
      <c r="FZ132" s="31"/>
      <c r="GA132" s="31"/>
      <c r="GB132" s="31"/>
      <c r="GC132" s="31"/>
      <c r="GD132" s="31"/>
      <c r="GE132" s="31"/>
      <c r="GF132" s="31"/>
      <c r="GG132" s="31"/>
      <c r="GH132" s="31"/>
      <c r="GI132" s="31"/>
      <c r="GJ132" s="31"/>
      <c r="GK132" s="31"/>
      <c r="GL132" s="31"/>
      <c r="GM132" s="31"/>
      <c r="GN132" s="31"/>
      <c r="GO132" s="31"/>
      <c r="GP132" s="31"/>
      <c r="GQ132" s="31"/>
      <c r="GR132" s="31"/>
      <c r="GS132" s="31"/>
      <c r="GT132" s="31"/>
      <c r="GU132" s="31"/>
      <c r="GV132" s="31"/>
      <c r="GW132" s="31"/>
      <c r="GX132" s="31"/>
      <c r="GY132" s="31"/>
      <c r="GZ132" s="31"/>
      <c r="HA132" s="31"/>
      <c r="HB132" s="31"/>
      <c r="HC132" s="31"/>
      <c r="HD132" s="31"/>
      <c r="HE132" s="31"/>
      <c r="HF132" s="31"/>
      <c r="HG132" s="31"/>
      <c r="HH132" s="31"/>
      <c r="HI132" s="31"/>
      <c r="HJ132" s="31"/>
      <c r="HK132" s="31"/>
      <c r="HL132" s="31"/>
      <c r="HM132" s="31"/>
      <c r="HN132" s="31"/>
      <c r="HO132" s="31"/>
      <c r="HP132" s="31"/>
      <c r="HQ132" s="31"/>
      <c r="HR132" s="31"/>
      <c r="HS132" s="31"/>
      <c r="HT132" s="31"/>
      <c r="HU132" s="31"/>
      <c r="HV132" s="31"/>
      <c r="HW132" s="31"/>
      <c r="HX132" s="31"/>
      <c r="HY132" s="31"/>
      <c r="HZ132" s="31"/>
    </row>
    <row r="133" spans="1:234" ht="14.25" customHeight="1" x14ac:dyDescent="0.35">
      <c r="A133" s="88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30"/>
      <c r="U133" s="27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31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  <c r="BS133" s="31"/>
      <c r="BT133" s="31"/>
      <c r="BU133" s="31"/>
      <c r="BV133" s="31"/>
      <c r="BW133" s="31"/>
      <c r="BX133" s="31"/>
      <c r="BY133" s="31"/>
      <c r="BZ133" s="31"/>
      <c r="CA133" s="31"/>
      <c r="CB133" s="31"/>
      <c r="CC133" s="31"/>
      <c r="CD133" s="31"/>
      <c r="CE133" s="31"/>
      <c r="CF133" s="31"/>
      <c r="CG133" s="31"/>
      <c r="CH133" s="31"/>
      <c r="CI133" s="31"/>
      <c r="CJ133" s="31"/>
      <c r="CK133" s="31"/>
      <c r="CL133" s="31"/>
      <c r="CM133" s="31"/>
      <c r="CN133" s="31"/>
      <c r="CO133" s="31"/>
      <c r="CP133" s="31"/>
      <c r="CQ133" s="31"/>
      <c r="CR133" s="31"/>
      <c r="CS133" s="31"/>
      <c r="CT133" s="31"/>
      <c r="CU133" s="31"/>
      <c r="CV133" s="31"/>
      <c r="CW133" s="31"/>
      <c r="CX133" s="31"/>
      <c r="CY133" s="31"/>
      <c r="CZ133" s="31"/>
      <c r="DA133" s="31"/>
      <c r="DB133" s="31"/>
      <c r="DC133" s="31"/>
      <c r="DD133" s="31"/>
      <c r="DE133" s="31"/>
      <c r="DF133" s="31"/>
      <c r="DG133" s="31"/>
      <c r="DH133" s="31"/>
      <c r="DI133" s="31"/>
      <c r="DJ133" s="31"/>
      <c r="DK133" s="31"/>
      <c r="DL133" s="31"/>
      <c r="DM133" s="31"/>
      <c r="DN133" s="31"/>
      <c r="DO133" s="31"/>
      <c r="DP133" s="31"/>
      <c r="DQ133" s="31"/>
      <c r="DR133" s="31"/>
      <c r="DS133" s="31"/>
      <c r="DT133" s="31"/>
      <c r="DU133" s="31"/>
      <c r="DV133" s="31"/>
      <c r="DW133" s="31"/>
      <c r="DX133" s="31"/>
      <c r="DY133" s="31"/>
      <c r="DZ133" s="31"/>
      <c r="EA133" s="31"/>
      <c r="EB133" s="31"/>
      <c r="EC133" s="31"/>
      <c r="ED133" s="31"/>
      <c r="EE133" s="31"/>
      <c r="EF133" s="31"/>
      <c r="EG133" s="31"/>
      <c r="EH133" s="31"/>
      <c r="EI133" s="31"/>
      <c r="EJ133" s="31"/>
      <c r="EK133" s="31"/>
      <c r="EL133" s="31"/>
      <c r="EM133" s="31"/>
      <c r="EN133" s="31"/>
      <c r="EO133" s="31"/>
      <c r="EP133" s="31"/>
      <c r="EQ133" s="31"/>
      <c r="ER133" s="31"/>
      <c r="ES133" s="31"/>
      <c r="ET133" s="31"/>
      <c r="EU133" s="31"/>
      <c r="EV133" s="31"/>
      <c r="EW133" s="31"/>
      <c r="EX133" s="31"/>
      <c r="EY133" s="31"/>
      <c r="EZ133" s="31"/>
      <c r="FA133" s="31"/>
      <c r="FB133" s="31"/>
      <c r="FC133" s="31"/>
      <c r="FD133" s="31"/>
      <c r="FE133" s="31"/>
      <c r="FF133" s="31"/>
      <c r="FG133" s="31"/>
      <c r="FH133" s="31"/>
      <c r="FI133" s="31"/>
      <c r="FJ133" s="31"/>
      <c r="FK133" s="31"/>
      <c r="FL133" s="31"/>
      <c r="FM133" s="31"/>
      <c r="FN133" s="31"/>
      <c r="FO133" s="31"/>
      <c r="FP133" s="31"/>
      <c r="FQ133" s="31"/>
      <c r="FR133" s="31"/>
      <c r="FS133" s="31"/>
      <c r="FT133" s="31"/>
      <c r="FU133" s="31"/>
      <c r="FV133" s="31"/>
      <c r="FW133" s="31"/>
      <c r="FX133" s="31"/>
      <c r="FY133" s="31"/>
      <c r="FZ133" s="31"/>
      <c r="GA133" s="31"/>
      <c r="GB133" s="31"/>
      <c r="GC133" s="31"/>
      <c r="GD133" s="31"/>
      <c r="GE133" s="31"/>
      <c r="GF133" s="31"/>
      <c r="GG133" s="31"/>
      <c r="GH133" s="31"/>
      <c r="GI133" s="31"/>
      <c r="GJ133" s="31"/>
      <c r="GK133" s="31"/>
      <c r="GL133" s="31"/>
      <c r="GM133" s="31"/>
      <c r="GN133" s="31"/>
      <c r="GO133" s="31"/>
      <c r="GP133" s="31"/>
      <c r="GQ133" s="31"/>
      <c r="GR133" s="31"/>
      <c r="GS133" s="31"/>
      <c r="GT133" s="31"/>
      <c r="GU133" s="31"/>
      <c r="GV133" s="31"/>
      <c r="GW133" s="31"/>
      <c r="GX133" s="31"/>
      <c r="GY133" s="31"/>
      <c r="GZ133" s="31"/>
      <c r="HA133" s="31"/>
      <c r="HB133" s="31"/>
      <c r="HC133" s="31"/>
      <c r="HD133" s="31"/>
      <c r="HE133" s="31"/>
      <c r="HF133" s="31"/>
      <c r="HG133" s="31"/>
      <c r="HH133" s="31"/>
      <c r="HI133" s="31"/>
      <c r="HJ133" s="31"/>
      <c r="HK133" s="31"/>
      <c r="HL133" s="31"/>
      <c r="HM133" s="31"/>
      <c r="HN133" s="31"/>
      <c r="HO133" s="31"/>
      <c r="HP133" s="31"/>
      <c r="HQ133" s="31"/>
      <c r="HR133" s="31"/>
      <c r="HS133" s="31"/>
      <c r="HT133" s="31"/>
      <c r="HU133" s="31"/>
      <c r="HV133" s="31"/>
      <c r="HW133" s="31"/>
      <c r="HX133" s="31"/>
      <c r="HY133" s="31"/>
      <c r="HZ133" s="31"/>
    </row>
    <row r="134" spans="1:234" ht="14.25" customHeight="1" x14ac:dyDescent="0.35">
      <c r="A134" s="88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30"/>
      <c r="U134" s="27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  <c r="BS134" s="31"/>
      <c r="BT134" s="31"/>
      <c r="BU134" s="31"/>
      <c r="BV134" s="31"/>
      <c r="BW134" s="31"/>
      <c r="BX134" s="31"/>
      <c r="BY134" s="31"/>
      <c r="BZ134" s="31"/>
      <c r="CA134" s="31"/>
      <c r="CB134" s="31"/>
      <c r="CC134" s="31"/>
      <c r="CD134" s="31"/>
      <c r="CE134" s="31"/>
      <c r="CF134" s="31"/>
      <c r="CG134" s="31"/>
      <c r="CH134" s="31"/>
      <c r="CI134" s="31"/>
      <c r="CJ134" s="31"/>
      <c r="CK134" s="31"/>
      <c r="CL134" s="31"/>
      <c r="CM134" s="31"/>
      <c r="CN134" s="31"/>
      <c r="CO134" s="31"/>
      <c r="CP134" s="31"/>
      <c r="CQ134" s="31"/>
      <c r="CR134" s="31"/>
      <c r="CS134" s="31"/>
      <c r="CT134" s="31"/>
      <c r="CU134" s="31"/>
      <c r="CV134" s="31"/>
      <c r="CW134" s="31"/>
      <c r="CX134" s="31"/>
      <c r="CY134" s="31"/>
      <c r="CZ134" s="31"/>
      <c r="DA134" s="31"/>
      <c r="DB134" s="31"/>
      <c r="DC134" s="31"/>
      <c r="DD134" s="31"/>
      <c r="DE134" s="31"/>
      <c r="DF134" s="31"/>
      <c r="DG134" s="31"/>
      <c r="DH134" s="31"/>
      <c r="DI134" s="31"/>
      <c r="DJ134" s="31"/>
      <c r="DK134" s="31"/>
      <c r="DL134" s="31"/>
      <c r="DM134" s="31"/>
      <c r="DN134" s="31"/>
      <c r="DO134" s="31"/>
      <c r="DP134" s="31"/>
      <c r="DQ134" s="31"/>
      <c r="DR134" s="31"/>
      <c r="DS134" s="31"/>
      <c r="DT134" s="31"/>
      <c r="DU134" s="31"/>
      <c r="DV134" s="31"/>
      <c r="DW134" s="31"/>
      <c r="DX134" s="31"/>
      <c r="DY134" s="31"/>
      <c r="DZ134" s="31"/>
      <c r="EA134" s="31"/>
      <c r="EB134" s="31"/>
      <c r="EC134" s="31"/>
      <c r="ED134" s="31"/>
      <c r="EE134" s="31"/>
      <c r="EF134" s="31"/>
      <c r="EG134" s="31"/>
      <c r="EH134" s="31"/>
      <c r="EI134" s="31"/>
      <c r="EJ134" s="31"/>
      <c r="EK134" s="31"/>
      <c r="EL134" s="31"/>
      <c r="EM134" s="31"/>
      <c r="EN134" s="31"/>
      <c r="EO134" s="31"/>
      <c r="EP134" s="31"/>
      <c r="EQ134" s="31"/>
      <c r="ER134" s="31"/>
      <c r="ES134" s="31"/>
      <c r="ET134" s="31"/>
      <c r="EU134" s="31"/>
      <c r="EV134" s="31"/>
      <c r="EW134" s="31"/>
      <c r="EX134" s="31"/>
      <c r="EY134" s="31"/>
      <c r="EZ134" s="31"/>
      <c r="FA134" s="31"/>
      <c r="FB134" s="31"/>
      <c r="FC134" s="31"/>
      <c r="FD134" s="31"/>
      <c r="FE134" s="31"/>
      <c r="FF134" s="31"/>
      <c r="FG134" s="31"/>
      <c r="FH134" s="31"/>
      <c r="FI134" s="31"/>
      <c r="FJ134" s="31"/>
      <c r="FK134" s="31"/>
      <c r="FL134" s="31"/>
      <c r="FM134" s="31"/>
      <c r="FN134" s="31"/>
      <c r="FO134" s="31"/>
      <c r="FP134" s="31"/>
      <c r="FQ134" s="31"/>
      <c r="FR134" s="31"/>
      <c r="FS134" s="31"/>
      <c r="FT134" s="31"/>
      <c r="FU134" s="31"/>
      <c r="FV134" s="31"/>
      <c r="FW134" s="31"/>
      <c r="FX134" s="31"/>
      <c r="FY134" s="31"/>
      <c r="FZ134" s="31"/>
      <c r="GA134" s="31"/>
      <c r="GB134" s="31"/>
      <c r="GC134" s="31"/>
      <c r="GD134" s="31"/>
      <c r="GE134" s="31"/>
      <c r="GF134" s="31"/>
      <c r="GG134" s="31"/>
      <c r="GH134" s="31"/>
      <c r="GI134" s="31"/>
      <c r="GJ134" s="31"/>
      <c r="GK134" s="31"/>
      <c r="GL134" s="31"/>
      <c r="GM134" s="31"/>
      <c r="GN134" s="31"/>
      <c r="GO134" s="31"/>
      <c r="GP134" s="31"/>
      <c r="GQ134" s="31"/>
      <c r="GR134" s="31"/>
      <c r="GS134" s="31"/>
      <c r="GT134" s="31"/>
      <c r="GU134" s="31"/>
      <c r="GV134" s="31"/>
      <c r="GW134" s="31"/>
      <c r="GX134" s="31"/>
      <c r="GY134" s="31"/>
      <c r="GZ134" s="31"/>
      <c r="HA134" s="31"/>
      <c r="HB134" s="31"/>
      <c r="HC134" s="31"/>
      <c r="HD134" s="31"/>
      <c r="HE134" s="31"/>
      <c r="HF134" s="31"/>
      <c r="HG134" s="31"/>
      <c r="HH134" s="31"/>
      <c r="HI134" s="31"/>
      <c r="HJ134" s="31"/>
      <c r="HK134" s="31"/>
      <c r="HL134" s="31"/>
      <c r="HM134" s="31"/>
      <c r="HN134" s="31"/>
      <c r="HO134" s="31"/>
      <c r="HP134" s="31"/>
      <c r="HQ134" s="31"/>
      <c r="HR134" s="31"/>
      <c r="HS134" s="31"/>
      <c r="HT134" s="31"/>
      <c r="HU134" s="31"/>
      <c r="HV134" s="31"/>
      <c r="HW134" s="31"/>
      <c r="HX134" s="31"/>
      <c r="HY134" s="31"/>
      <c r="HZ134" s="31"/>
    </row>
    <row r="135" spans="1:234" ht="14.25" customHeight="1" x14ac:dyDescent="0.35">
      <c r="A135" s="88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30"/>
      <c r="U135" s="27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  <c r="BS135" s="31"/>
      <c r="BT135" s="31"/>
      <c r="BU135" s="31"/>
      <c r="BV135" s="31"/>
      <c r="BW135" s="31"/>
      <c r="BX135" s="31"/>
      <c r="BY135" s="31"/>
      <c r="BZ135" s="31"/>
      <c r="CA135" s="31"/>
      <c r="CB135" s="31"/>
      <c r="CC135" s="31"/>
      <c r="CD135" s="31"/>
      <c r="CE135" s="31"/>
      <c r="CF135" s="31"/>
      <c r="CG135" s="31"/>
      <c r="CH135" s="31"/>
      <c r="CI135" s="31"/>
      <c r="CJ135" s="31"/>
      <c r="CK135" s="31"/>
      <c r="CL135" s="31"/>
      <c r="CM135" s="31"/>
      <c r="CN135" s="31"/>
      <c r="CO135" s="31"/>
      <c r="CP135" s="31"/>
      <c r="CQ135" s="31"/>
      <c r="CR135" s="31"/>
      <c r="CS135" s="31"/>
      <c r="CT135" s="31"/>
      <c r="CU135" s="31"/>
      <c r="CV135" s="31"/>
      <c r="CW135" s="31"/>
      <c r="CX135" s="31"/>
      <c r="CY135" s="31"/>
      <c r="CZ135" s="31"/>
      <c r="DA135" s="31"/>
      <c r="DB135" s="31"/>
      <c r="DC135" s="31"/>
      <c r="DD135" s="31"/>
      <c r="DE135" s="31"/>
      <c r="DF135" s="31"/>
      <c r="DG135" s="31"/>
      <c r="DH135" s="31"/>
      <c r="DI135" s="31"/>
      <c r="DJ135" s="31"/>
      <c r="DK135" s="31"/>
      <c r="DL135" s="31"/>
      <c r="DM135" s="31"/>
      <c r="DN135" s="31"/>
      <c r="DO135" s="31"/>
      <c r="DP135" s="31"/>
      <c r="DQ135" s="31"/>
      <c r="DR135" s="31"/>
      <c r="DS135" s="31"/>
      <c r="DT135" s="31"/>
      <c r="DU135" s="31"/>
      <c r="DV135" s="31"/>
      <c r="DW135" s="31"/>
      <c r="DX135" s="31"/>
      <c r="DY135" s="31"/>
      <c r="DZ135" s="31"/>
      <c r="EA135" s="31"/>
      <c r="EB135" s="31"/>
      <c r="EC135" s="31"/>
      <c r="ED135" s="31"/>
      <c r="EE135" s="31"/>
      <c r="EF135" s="31"/>
      <c r="EG135" s="31"/>
      <c r="EH135" s="31"/>
      <c r="EI135" s="31"/>
      <c r="EJ135" s="31"/>
      <c r="EK135" s="31"/>
      <c r="EL135" s="31"/>
      <c r="EM135" s="31"/>
      <c r="EN135" s="31"/>
      <c r="EO135" s="31"/>
      <c r="EP135" s="31"/>
      <c r="EQ135" s="31"/>
      <c r="ER135" s="31"/>
      <c r="ES135" s="31"/>
      <c r="ET135" s="31"/>
      <c r="EU135" s="31"/>
      <c r="EV135" s="31"/>
      <c r="EW135" s="31"/>
      <c r="EX135" s="31"/>
      <c r="EY135" s="31"/>
      <c r="EZ135" s="31"/>
      <c r="FA135" s="31"/>
      <c r="FB135" s="31"/>
      <c r="FC135" s="31"/>
      <c r="FD135" s="31"/>
      <c r="FE135" s="31"/>
      <c r="FF135" s="31"/>
      <c r="FG135" s="31"/>
      <c r="FH135" s="31"/>
      <c r="FI135" s="31"/>
      <c r="FJ135" s="31"/>
      <c r="FK135" s="31"/>
      <c r="FL135" s="31"/>
      <c r="FM135" s="31"/>
      <c r="FN135" s="31"/>
      <c r="FO135" s="31"/>
      <c r="FP135" s="31"/>
      <c r="FQ135" s="31"/>
      <c r="FR135" s="31"/>
      <c r="FS135" s="31"/>
      <c r="FT135" s="31"/>
      <c r="FU135" s="31"/>
      <c r="FV135" s="31"/>
      <c r="FW135" s="31"/>
      <c r="FX135" s="31"/>
      <c r="FY135" s="31"/>
      <c r="FZ135" s="31"/>
      <c r="GA135" s="31"/>
      <c r="GB135" s="31"/>
      <c r="GC135" s="31"/>
      <c r="GD135" s="31"/>
      <c r="GE135" s="31"/>
      <c r="GF135" s="31"/>
      <c r="GG135" s="31"/>
      <c r="GH135" s="31"/>
      <c r="GI135" s="31"/>
      <c r="GJ135" s="31"/>
      <c r="GK135" s="31"/>
      <c r="GL135" s="31"/>
      <c r="GM135" s="31"/>
      <c r="GN135" s="31"/>
      <c r="GO135" s="31"/>
      <c r="GP135" s="31"/>
      <c r="GQ135" s="31"/>
      <c r="GR135" s="31"/>
      <c r="GS135" s="31"/>
      <c r="GT135" s="31"/>
      <c r="GU135" s="31"/>
      <c r="GV135" s="31"/>
      <c r="GW135" s="31"/>
      <c r="GX135" s="31"/>
      <c r="GY135" s="31"/>
      <c r="GZ135" s="31"/>
      <c r="HA135" s="31"/>
      <c r="HB135" s="31"/>
      <c r="HC135" s="31"/>
      <c r="HD135" s="31"/>
      <c r="HE135" s="31"/>
      <c r="HF135" s="31"/>
      <c r="HG135" s="31"/>
      <c r="HH135" s="31"/>
      <c r="HI135" s="31"/>
      <c r="HJ135" s="31"/>
      <c r="HK135" s="31"/>
      <c r="HL135" s="31"/>
      <c r="HM135" s="31"/>
      <c r="HN135" s="31"/>
      <c r="HO135" s="31"/>
      <c r="HP135" s="31"/>
      <c r="HQ135" s="31"/>
      <c r="HR135" s="31"/>
      <c r="HS135" s="31"/>
      <c r="HT135" s="31"/>
      <c r="HU135" s="31"/>
      <c r="HV135" s="31"/>
      <c r="HW135" s="31"/>
      <c r="HX135" s="31"/>
      <c r="HY135" s="31"/>
      <c r="HZ135" s="31"/>
    </row>
    <row r="136" spans="1:234" ht="14.25" customHeight="1" x14ac:dyDescent="0.35">
      <c r="A136" s="88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30"/>
      <c r="U136" s="27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  <c r="BS136" s="31"/>
      <c r="BT136" s="31"/>
      <c r="BU136" s="31"/>
      <c r="BV136" s="31"/>
      <c r="BW136" s="31"/>
      <c r="BX136" s="31"/>
      <c r="BY136" s="31"/>
      <c r="BZ136" s="31"/>
      <c r="CA136" s="31"/>
      <c r="CB136" s="31"/>
      <c r="CC136" s="31"/>
      <c r="CD136" s="31"/>
      <c r="CE136" s="31"/>
      <c r="CF136" s="31"/>
      <c r="CG136" s="31"/>
      <c r="CH136" s="31"/>
      <c r="CI136" s="31"/>
      <c r="CJ136" s="31"/>
      <c r="CK136" s="31"/>
      <c r="CL136" s="31"/>
      <c r="CM136" s="31"/>
      <c r="CN136" s="31"/>
      <c r="CO136" s="31"/>
      <c r="CP136" s="31"/>
      <c r="CQ136" s="31"/>
      <c r="CR136" s="31"/>
      <c r="CS136" s="31"/>
      <c r="CT136" s="31"/>
      <c r="CU136" s="31"/>
      <c r="CV136" s="31"/>
      <c r="CW136" s="31"/>
      <c r="CX136" s="31"/>
      <c r="CY136" s="31"/>
      <c r="CZ136" s="31"/>
      <c r="DA136" s="31"/>
      <c r="DB136" s="31"/>
      <c r="DC136" s="31"/>
      <c r="DD136" s="31"/>
      <c r="DE136" s="31"/>
      <c r="DF136" s="31"/>
      <c r="DG136" s="31"/>
      <c r="DH136" s="31"/>
      <c r="DI136" s="31"/>
      <c r="DJ136" s="31"/>
      <c r="DK136" s="31"/>
      <c r="DL136" s="31"/>
      <c r="DM136" s="31"/>
      <c r="DN136" s="31"/>
      <c r="DO136" s="31"/>
      <c r="DP136" s="31"/>
      <c r="DQ136" s="31"/>
      <c r="DR136" s="31"/>
      <c r="DS136" s="31"/>
      <c r="DT136" s="31"/>
      <c r="DU136" s="31"/>
      <c r="DV136" s="31"/>
      <c r="DW136" s="31"/>
      <c r="DX136" s="31"/>
      <c r="DY136" s="31"/>
      <c r="DZ136" s="31"/>
      <c r="EA136" s="31"/>
      <c r="EB136" s="31"/>
      <c r="EC136" s="31"/>
      <c r="ED136" s="31"/>
      <c r="EE136" s="31"/>
      <c r="EF136" s="31"/>
      <c r="EG136" s="31"/>
      <c r="EH136" s="31"/>
      <c r="EI136" s="31"/>
      <c r="EJ136" s="31"/>
      <c r="EK136" s="31"/>
      <c r="EL136" s="31"/>
      <c r="EM136" s="31"/>
      <c r="EN136" s="31"/>
      <c r="EO136" s="31"/>
      <c r="EP136" s="31"/>
      <c r="EQ136" s="31"/>
      <c r="ER136" s="31"/>
      <c r="ES136" s="31"/>
      <c r="ET136" s="31"/>
      <c r="EU136" s="31"/>
      <c r="EV136" s="31"/>
      <c r="EW136" s="31"/>
      <c r="EX136" s="31"/>
      <c r="EY136" s="31"/>
      <c r="EZ136" s="31"/>
      <c r="FA136" s="31"/>
      <c r="FB136" s="31"/>
      <c r="FC136" s="31"/>
      <c r="FD136" s="31"/>
      <c r="FE136" s="31"/>
      <c r="FF136" s="31"/>
      <c r="FG136" s="31"/>
      <c r="FH136" s="31"/>
      <c r="FI136" s="31"/>
      <c r="FJ136" s="31"/>
      <c r="FK136" s="31"/>
      <c r="FL136" s="31"/>
      <c r="FM136" s="31"/>
      <c r="FN136" s="31"/>
      <c r="FO136" s="31"/>
      <c r="FP136" s="31"/>
      <c r="FQ136" s="31"/>
      <c r="FR136" s="31"/>
      <c r="FS136" s="31"/>
      <c r="FT136" s="31"/>
      <c r="FU136" s="31"/>
      <c r="FV136" s="31"/>
      <c r="FW136" s="31"/>
      <c r="FX136" s="31"/>
      <c r="FY136" s="31"/>
      <c r="FZ136" s="31"/>
      <c r="GA136" s="31"/>
      <c r="GB136" s="31"/>
      <c r="GC136" s="31"/>
      <c r="GD136" s="31"/>
      <c r="GE136" s="31"/>
      <c r="GF136" s="31"/>
      <c r="GG136" s="31"/>
      <c r="GH136" s="31"/>
      <c r="GI136" s="31"/>
      <c r="GJ136" s="31"/>
      <c r="GK136" s="31"/>
      <c r="GL136" s="31"/>
      <c r="GM136" s="31"/>
      <c r="GN136" s="31"/>
      <c r="GO136" s="31"/>
      <c r="GP136" s="31"/>
      <c r="GQ136" s="31"/>
      <c r="GR136" s="31"/>
      <c r="GS136" s="31"/>
      <c r="GT136" s="31"/>
      <c r="GU136" s="31"/>
      <c r="GV136" s="31"/>
      <c r="GW136" s="31"/>
      <c r="GX136" s="31"/>
      <c r="GY136" s="31"/>
      <c r="GZ136" s="31"/>
      <c r="HA136" s="31"/>
      <c r="HB136" s="31"/>
      <c r="HC136" s="31"/>
      <c r="HD136" s="31"/>
      <c r="HE136" s="31"/>
      <c r="HF136" s="31"/>
      <c r="HG136" s="31"/>
      <c r="HH136" s="31"/>
      <c r="HI136" s="31"/>
      <c r="HJ136" s="31"/>
      <c r="HK136" s="31"/>
      <c r="HL136" s="31"/>
      <c r="HM136" s="31"/>
      <c r="HN136" s="31"/>
      <c r="HO136" s="31"/>
      <c r="HP136" s="31"/>
      <c r="HQ136" s="31"/>
      <c r="HR136" s="31"/>
      <c r="HS136" s="31"/>
      <c r="HT136" s="31"/>
      <c r="HU136" s="31"/>
      <c r="HV136" s="31"/>
      <c r="HW136" s="31"/>
      <c r="HX136" s="31"/>
      <c r="HY136" s="31"/>
      <c r="HZ136" s="31"/>
    </row>
    <row r="137" spans="1:234" ht="14.25" customHeight="1" x14ac:dyDescent="0.35">
      <c r="A137" s="88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30"/>
      <c r="U137" s="27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  <c r="BS137" s="31"/>
      <c r="BT137" s="31"/>
      <c r="BU137" s="31"/>
      <c r="BV137" s="31"/>
      <c r="BW137" s="31"/>
      <c r="BX137" s="31"/>
      <c r="BY137" s="31"/>
      <c r="BZ137" s="31"/>
      <c r="CA137" s="31"/>
      <c r="CB137" s="31"/>
      <c r="CC137" s="31"/>
      <c r="CD137" s="31"/>
      <c r="CE137" s="31"/>
      <c r="CF137" s="31"/>
      <c r="CG137" s="31"/>
      <c r="CH137" s="31"/>
      <c r="CI137" s="31"/>
      <c r="CJ137" s="31"/>
      <c r="CK137" s="31"/>
      <c r="CL137" s="31"/>
      <c r="CM137" s="31"/>
      <c r="CN137" s="31"/>
      <c r="CO137" s="31"/>
      <c r="CP137" s="31"/>
      <c r="CQ137" s="31"/>
      <c r="CR137" s="31"/>
      <c r="CS137" s="31"/>
      <c r="CT137" s="31"/>
      <c r="CU137" s="31"/>
      <c r="CV137" s="31"/>
      <c r="CW137" s="31"/>
      <c r="CX137" s="31"/>
      <c r="CY137" s="31"/>
      <c r="CZ137" s="31"/>
      <c r="DA137" s="31"/>
      <c r="DB137" s="31"/>
      <c r="DC137" s="31"/>
      <c r="DD137" s="31"/>
      <c r="DE137" s="31"/>
      <c r="DF137" s="31"/>
      <c r="DG137" s="31"/>
      <c r="DH137" s="31"/>
      <c r="DI137" s="31"/>
      <c r="DJ137" s="31"/>
      <c r="DK137" s="31"/>
      <c r="DL137" s="31"/>
      <c r="DM137" s="31"/>
      <c r="DN137" s="31"/>
      <c r="DO137" s="31"/>
      <c r="DP137" s="31"/>
      <c r="DQ137" s="31"/>
      <c r="DR137" s="31"/>
      <c r="DS137" s="31"/>
      <c r="DT137" s="31"/>
      <c r="DU137" s="31"/>
      <c r="DV137" s="31"/>
      <c r="DW137" s="31"/>
      <c r="DX137" s="31"/>
      <c r="DY137" s="31"/>
      <c r="DZ137" s="31"/>
      <c r="EA137" s="31"/>
      <c r="EB137" s="31"/>
      <c r="EC137" s="31"/>
      <c r="ED137" s="31"/>
      <c r="EE137" s="31"/>
      <c r="EF137" s="31"/>
      <c r="EG137" s="31"/>
      <c r="EH137" s="31"/>
      <c r="EI137" s="31"/>
      <c r="EJ137" s="31"/>
      <c r="EK137" s="31"/>
      <c r="EL137" s="31"/>
      <c r="EM137" s="31"/>
      <c r="EN137" s="31"/>
      <c r="EO137" s="31"/>
      <c r="EP137" s="31"/>
      <c r="EQ137" s="31"/>
      <c r="ER137" s="31"/>
      <c r="ES137" s="31"/>
      <c r="ET137" s="31"/>
      <c r="EU137" s="31"/>
      <c r="EV137" s="31"/>
      <c r="EW137" s="31"/>
      <c r="EX137" s="31"/>
      <c r="EY137" s="31"/>
      <c r="EZ137" s="31"/>
      <c r="FA137" s="31"/>
      <c r="FB137" s="31"/>
      <c r="FC137" s="31"/>
      <c r="FD137" s="31"/>
      <c r="FE137" s="31"/>
      <c r="FF137" s="31"/>
      <c r="FG137" s="31"/>
      <c r="FH137" s="31"/>
      <c r="FI137" s="31"/>
      <c r="FJ137" s="31"/>
      <c r="FK137" s="31"/>
      <c r="FL137" s="31"/>
      <c r="FM137" s="31"/>
      <c r="FN137" s="31"/>
      <c r="FO137" s="31"/>
      <c r="FP137" s="31"/>
      <c r="FQ137" s="31"/>
      <c r="FR137" s="31"/>
      <c r="FS137" s="31"/>
      <c r="FT137" s="31"/>
      <c r="FU137" s="31"/>
      <c r="FV137" s="31"/>
      <c r="FW137" s="31"/>
      <c r="FX137" s="31"/>
      <c r="FY137" s="31"/>
      <c r="FZ137" s="31"/>
      <c r="GA137" s="31"/>
      <c r="GB137" s="31"/>
      <c r="GC137" s="31"/>
      <c r="GD137" s="31"/>
      <c r="GE137" s="31"/>
      <c r="GF137" s="31"/>
      <c r="GG137" s="31"/>
      <c r="GH137" s="31"/>
      <c r="GI137" s="31"/>
      <c r="GJ137" s="31"/>
      <c r="GK137" s="31"/>
      <c r="GL137" s="31"/>
      <c r="GM137" s="31"/>
      <c r="GN137" s="31"/>
      <c r="GO137" s="31"/>
      <c r="GP137" s="31"/>
      <c r="GQ137" s="31"/>
      <c r="GR137" s="31"/>
      <c r="GS137" s="31"/>
      <c r="GT137" s="31"/>
      <c r="GU137" s="31"/>
      <c r="GV137" s="31"/>
      <c r="GW137" s="31"/>
      <c r="GX137" s="31"/>
      <c r="GY137" s="31"/>
      <c r="GZ137" s="31"/>
      <c r="HA137" s="31"/>
      <c r="HB137" s="31"/>
      <c r="HC137" s="31"/>
      <c r="HD137" s="31"/>
      <c r="HE137" s="31"/>
      <c r="HF137" s="31"/>
      <c r="HG137" s="31"/>
      <c r="HH137" s="31"/>
      <c r="HI137" s="31"/>
      <c r="HJ137" s="31"/>
      <c r="HK137" s="31"/>
      <c r="HL137" s="31"/>
      <c r="HM137" s="31"/>
      <c r="HN137" s="31"/>
      <c r="HO137" s="31"/>
      <c r="HP137" s="31"/>
      <c r="HQ137" s="31"/>
      <c r="HR137" s="31"/>
      <c r="HS137" s="31"/>
      <c r="HT137" s="31"/>
      <c r="HU137" s="31"/>
      <c r="HV137" s="31"/>
      <c r="HW137" s="31"/>
      <c r="HX137" s="31"/>
      <c r="HY137" s="31"/>
      <c r="HZ137" s="31"/>
    </row>
    <row r="138" spans="1:234" ht="14.25" customHeight="1" x14ac:dyDescent="0.35">
      <c r="A138" s="88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30"/>
      <c r="U138" s="27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  <c r="BS138" s="31"/>
      <c r="BT138" s="31"/>
      <c r="BU138" s="31"/>
      <c r="BV138" s="31"/>
      <c r="BW138" s="31"/>
      <c r="BX138" s="31"/>
      <c r="BY138" s="31"/>
      <c r="BZ138" s="31"/>
      <c r="CA138" s="31"/>
      <c r="CB138" s="31"/>
      <c r="CC138" s="31"/>
      <c r="CD138" s="31"/>
      <c r="CE138" s="31"/>
      <c r="CF138" s="31"/>
      <c r="CG138" s="31"/>
      <c r="CH138" s="31"/>
      <c r="CI138" s="31"/>
      <c r="CJ138" s="31"/>
      <c r="CK138" s="31"/>
      <c r="CL138" s="31"/>
      <c r="CM138" s="31"/>
      <c r="CN138" s="31"/>
      <c r="CO138" s="31"/>
      <c r="CP138" s="31"/>
      <c r="CQ138" s="31"/>
      <c r="CR138" s="31"/>
      <c r="CS138" s="31"/>
      <c r="CT138" s="31"/>
      <c r="CU138" s="31"/>
      <c r="CV138" s="31"/>
      <c r="CW138" s="31"/>
      <c r="CX138" s="31"/>
      <c r="CY138" s="31"/>
      <c r="CZ138" s="31"/>
      <c r="DA138" s="31"/>
      <c r="DB138" s="31"/>
      <c r="DC138" s="31"/>
      <c r="DD138" s="31"/>
      <c r="DE138" s="31"/>
      <c r="DF138" s="31"/>
      <c r="DG138" s="31"/>
      <c r="DH138" s="31"/>
      <c r="DI138" s="31"/>
      <c r="DJ138" s="31"/>
      <c r="DK138" s="31"/>
      <c r="DL138" s="31"/>
      <c r="DM138" s="31"/>
      <c r="DN138" s="31"/>
      <c r="DO138" s="31"/>
      <c r="DP138" s="31"/>
      <c r="DQ138" s="31"/>
      <c r="DR138" s="31"/>
      <c r="DS138" s="31"/>
      <c r="DT138" s="31"/>
      <c r="DU138" s="31"/>
      <c r="DV138" s="31"/>
      <c r="DW138" s="31"/>
      <c r="DX138" s="31"/>
      <c r="DY138" s="31"/>
      <c r="DZ138" s="31"/>
      <c r="EA138" s="31"/>
      <c r="EB138" s="31"/>
      <c r="EC138" s="31"/>
      <c r="ED138" s="31"/>
      <c r="EE138" s="31"/>
      <c r="EF138" s="31"/>
      <c r="EG138" s="31"/>
      <c r="EH138" s="31"/>
      <c r="EI138" s="31"/>
      <c r="EJ138" s="31"/>
      <c r="EK138" s="31"/>
      <c r="EL138" s="31"/>
      <c r="EM138" s="31"/>
      <c r="EN138" s="31"/>
      <c r="EO138" s="31"/>
      <c r="EP138" s="31"/>
      <c r="EQ138" s="31"/>
      <c r="ER138" s="31"/>
      <c r="ES138" s="31"/>
      <c r="ET138" s="31"/>
      <c r="EU138" s="31"/>
      <c r="EV138" s="31"/>
      <c r="EW138" s="31"/>
      <c r="EX138" s="31"/>
      <c r="EY138" s="31"/>
      <c r="EZ138" s="31"/>
      <c r="FA138" s="31"/>
      <c r="FB138" s="31"/>
      <c r="FC138" s="31"/>
      <c r="FD138" s="31"/>
      <c r="FE138" s="31"/>
      <c r="FF138" s="31"/>
      <c r="FG138" s="31"/>
      <c r="FH138" s="31"/>
      <c r="FI138" s="31"/>
      <c r="FJ138" s="31"/>
      <c r="FK138" s="31"/>
      <c r="FL138" s="31"/>
      <c r="FM138" s="31"/>
      <c r="FN138" s="31"/>
      <c r="FO138" s="31"/>
      <c r="FP138" s="31"/>
      <c r="FQ138" s="31"/>
      <c r="FR138" s="31"/>
      <c r="FS138" s="31"/>
      <c r="FT138" s="31"/>
      <c r="FU138" s="31"/>
      <c r="FV138" s="31"/>
      <c r="FW138" s="31"/>
      <c r="FX138" s="31"/>
      <c r="FY138" s="31"/>
      <c r="FZ138" s="31"/>
      <c r="GA138" s="31"/>
      <c r="GB138" s="31"/>
      <c r="GC138" s="31"/>
      <c r="GD138" s="31"/>
      <c r="GE138" s="31"/>
      <c r="GF138" s="31"/>
      <c r="GG138" s="31"/>
      <c r="GH138" s="31"/>
      <c r="GI138" s="31"/>
      <c r="GJ138" s="31"/>
      <c r="GK138" s="31"/>
      <c r="GL138" s="31"/>
      <c r="GM138" s="31"/>
      <c r="GN138" s="31"/>
      <c r="GO138" s="31"/>
      <c r="GP138" s="31"/>
      <c r="GQ138" s="31"/>
      <c r="GR138" s="31"/>
      <c r="GS138" s="31"/>
      <c r="GT138" s="31"/>
      <c r="GU138" s="31"/>
      <c r="GV138" s="31"/>
      <c r="GW138" s="31"/>
      <c r="GX138" s="31"/>
      <c r="GY138" s="31"/>
      <c r="GZ138" s="31"/>
      <c r="HA138" s="31"/>
      <c r="HB138" s="31"/>
      <c r="HC138" s="31"/>
      <c r="HD138" s="31"/>
      <c r="HE138" s="31"/>
      <c r="HF138" s="31"/>
      <c r="HG138" s="31"/>
      <c r="HH138" s="31"/>
      <c r="HI138" s="31"/>
      <c r="HJ138" s="31"/>
      <c r="HK138" s="31"/>
      <c r="HL138" s="31"/>
      <c r="HM138" s="31"/>
      <c r="HN138" s="31"/>
      <c r="HO138" s="31"/>
      <c r="HP138" s="31"/>
      <c r="HQ138" s="31"/>
      <c r="HR138" s="31"/>
      <c r="HS138" s="31"/>
      <c r="HT138" s="31"/>
      <c r="HU138" s="31"/>
      <c r="HV138" s="31"/>
      <c r="HW138" s="31"/>
      <c r="HX138" s="31"/>
      <c r="HY138" s="31"/>
      <c r="HZ138" s="31"/>
    </row>
    <row r="139" spans="1:234" ht="14.25" customHeight="1" x14ac:dyDescent="0.35">
      <c r="A139" s="88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30"/>
      <c r="U139" s="27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  <c r="BS139" s="31"/>
      <c r="BT139" s="31"/>
      <c r="BU139" s="31"/>
      <c r="BV139" s="31"/>
      <c r="BW139" s="31"/>
      <c r="BX139" s="31"/>
      <c r="BY139" s="31"/>
      <c r="BZ139" s="31"/>
      <c r="CA139" s="31"/>
      <c r="CB139" s="31"/>
      <c r="CC139" s="31"/>
      <c r="CD139" s="31"/>
      <c r="CE139" s="31"/>
      <c r="CF139" s="31"/>
      <c r="CG139" s="31"/>
      <c r="CH139" s="31"/>
      <c r="CI139" s="31"/>
      <c r="CJ139" s="31"/>
      <c r="CK139" s="31"/>
      <c r="CL139" s="31"/>
      <c r="CM139" s="31"/>
      <c r="CN139" s="31"/>
      <c r="CO139" s="31"/>
      <c r="CP139" s="31"/>
      <c r="CQ139" s="31"/>
      <c r="CR139" s="31"/>
      <c r="CS139" s="31"/>
      <c r="CT139" s="31"/>
      <c r="CU139" s="31"/>
      <c r="CV139" s="31"/>
      <c r="CW139" s="31"/>
      <c r="CX139" s="31"/>
      <c r="CY139" s="31"/>
      <c r="CZ139" s="31"/>
      <c r="DA139" s="31"/>
      <c r="DB139" s="31"/>
      <c r="DC139" s="31"/>
      <c r="DD139" s="31"/>
      <c r="DE139" s="31"/>
      <c r="DF139" s="31"/>
      <c r="DG139" s="31"/>
      <c r="DH139" s="31"/>
      <c r="DI139" s="31"/>
      <c r="DJ139" s="31"/>
      <c r="DK139" s="31"/>
      <c r="DL139" s="31"/>
      <c r="DM139" s="31"/>
      <c r="DN139" s="31"/>
      <c r="DO139" s="31"/>
      <c r="DP139" s="31"/>
      <c r="DQ139" s="31"/>
      <c r="DR139" s="31"/>
      <c r="DS139" s="31"/>
      <c r="DT139" s="31"/>
      <c r="DU139" s="31"/>
      <c r="DV139" s="31"/>
      <c r="DW139" s="31"/>
      <c r="DX139" s="31"/>
      <c r="DY139" s="31"/>
      <c r="DZ139" s="31"/>
      <c r="EA139" s="31"/>
      <c r="EB139" s="31"/>
      <c r="EC139" s="31"/>
      <c r="ED139" s="31"/>
      <c r="EE139" s="31"/>
      <c r="EF139" s="31"/>
      <c r="EG139" s="31"/>
      <c r="EH139" s="31"/>
      <c r="EI139" s="31"/>
      <c r="EJ139" s="31"/>
      <c r="EK139" s="31"/>
      <c r="EL139" s="31"/>
      <c r="EM139" s="31"/>
      <c r="EN139" s="31"/>
      <c r="EO139" s="31"/>
      <c r="EP139" s="31"/>
      <c r="EQ139" s="31"/>
      <c r="ER139" s="31"/>
      <c r="ES139" s="31"/>
      <c r="ET139" s="31"/>
      <c r="EU139" s="31"/>
      <c r="EV139" s="31"/>
      <c r="EW139" s="31"/>
      <c r="EX139" s="31"/>
      <c r="EY139" s="31"/>
      <c r="EZ139" s="31"/>
      <c r="FA139" s="31"/>
      <c r="FB139" s="31"/>
      <c r="FC139" s="31"/>
      <c r="FD139" s="31"/>
      <c r="FE139" s="31"/>
      <c r="FF139" s="31"/>
      <c r="FG139" s="31"/>
      <c r="FH139" s="31"/>
      <c r="FI139" s="31"/>
      <c r="FJ139" s="31"/>
      <c r="FK139" s="31"/>
      <c r="FL139" s="31"/>
      <c r="FM139" s="31"/>
      <c r="FN139" s="31"/>
      <c r="FO139" s="31"/>
      <c r="FP139" s="31"/>
      <c r="FQ139" s="31"/>
      <c r="FR139" s="31"/>
      <c r="FS139" s="31"/>
      <c r="FT139" s="31"/>
      <c r="FU139" s="31"/>
      <c r="FV139" s="31"/>
      <c r="FW139" s="31"/>
      <c r="FX139" s="31"/>
      <c r="FY139" s="31"/>
      <c r="FZ139" s="31"/>
      <c r="GA139" s="31"/>
      <c r="GB139" s="31"/>
      <c r="GC139" s="31"/>
      <c r="GD139" s="31"/>
      <c r="GE139" s="31"/>
      <c r="GF139" s="31"/>
      <c r="GG139" s="31"/>
      <c r="GH139" s="31"/>
      <c r="GI139" s="31"/>
      <c r="GJ139" s="31"/>
      <c r="GK139" s="31"/>
      <c r="GL139" s="31"/>
      <c r="GM139" s="31"/>
      <c r="GN139" s="31"/>
      <c r="GO139" s="31"/>
      <c r="GP139" s="31"/>
      <c r="GQ139" s="31"/>
      <c r="GR139" s="31"/>
      <c r="GS139" s="31"/>
      <c r="GT139" s="31"/>
      <c r="GU139" s="31"/>
      <c r="GV139" s="31"/>
      <c r="GW139" s="31"/>
      <c r="GX139" s="31"/>
      <c r="GY139" s="31"/>
      <c r="GZ139" s="31"/>
      <c r="HA139" s="31"/>
      <c r="HB139" s="31"/>
      <c r="HC139" s="31"/>
      <c r="HD139" s="31"/>
      <c r="HE139" s="31"/>
      <c r="HF139" s="31"/>
      <c r="HG139" s="31"/>
      <c r="HH139" s="31"/>
      <c r="HI139" s="31"/>
      <c r="HJ139" s="31"/>
      <c r="HK139" s="31"/>
      <c r="HL139" s="31"/>
      <c r="HM139" s="31"/>
      <c r="HN139" s="31"/>
      <c r="HO139" s="31"/>
      <c r="HP139" s="31"/>
      <c r="HQ139" s="31"/>
      <c r="HR139" s="31"/>
      <c r="HS139" s="31"/>
      <c r="HT139" s="31"/>
      <c r="HU139" s="31"/>
      <c r="HV139" s="31"/>
      <c r="HW139" s="31"/>
      <c r="HX139" s="31"/>
      <c r="HY139" s="31"/>
      <c r="HZ139" s="31"/>
    </row>
    <row r="140" spans="1:234" ht="14.25" customHeight="1" x14ac:dyDescent="0.35">
      <c r="A140" s="88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30"/>
      <c r="U140" s="27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  <c r="BS140" s="31"/>
      <c r="BT140" s="31"/>
      <c r="BU140" s="31"/>
      <c r="BV140" s="31"/>
      <c r="BW140" s="31"/>
      <c r="BX140" s="31"/>
      <c r="BY140" s="31"/>
      <c r="BZ140" s="31"/>
      <c r="CA140" s="31"/>
      <c r="CB140" s="31"/>
      <c r="CC140" s="31"/>
      <c r="CD140" s="31"/>
      <c r="CE140" s="31"/>
      <c r="CF140" s="31"/>
      <c r="CG140" s="31"/>
      <c r="CH140" s="31"/>
      <c r="CI140" s="31"/>
      <c r="CJ140" s="31"/>
      <c r="CK140" s="31"/>
      <c r="CL140" s="31"/>
      <c r="CM140" s="31"/>
      <c r="CN140" s="31"/>
      <c r="CO140" s="31"/>
      <c r="CP140" s="31"/>
      <c r="CQ140" s="31"/>
      <c r="CR140" s="31"/>
      <c r="CS140" s="31"/>
      <c r="CT140" s="31"/>
      <c r="CU140" s="31"/>
      <c r="CV140" s="31"/>
      <c r="CW140" s="31"/>
      <c r="CX140" s="31"/>
      <c r="CY140" s="31"/>
      <c r="CZ140" s="31"/>
      <c r="DA140" s="31"/>
      <c r="DB140" s="31"/>
      <c r="DC140" s="31"/>
      <c r="DD140" s="31"/>
      <c r="DE140" s="31"/>
      <c r="DF140" s="31"/>
      <c r="DG140" s="31"/>
      <c r="DH140" s="31"/>
      <c r="DI140" s="31"/>
      <c r="DJ140" s="31"/>
      <c r="DK140" s="31"/>
      <c r="DL140" s="31"/>
      <c r="DM140" s="31"/>
      <c r="DN140" s="31"/>
      <c r="DO140" s="31"/>
      <c r="DP140" s="31"/>
      <c r="DQ140" s="31"/>
      <c r="DR140" s="31"/>
      <c r="DS140" s="31"/>
      <c r="DT140" s="31"/>
      <c r="DU140" s="31"/>
      <c r="DV140" s="31"/>
      <c r="DW140" s="31"/>
      <c r="DX140" s="31"/>
      <c r="DY140" s="31"/>
      <c r="DZ140" s="31"/>
      <c r="EA140" s="31"/>
      <c r="EB140" s="31"/>
      <c r="EC140" s="31"/>
      <c r="ED140" s="31"/>
      <c r="EE140" s="31"/>
      <c r="EF140" s="31"/>
      <c r="EG140" s="31"/>
      <c r="EH140" s="31"/>
      <c r="EI140" s="31"/>
      <c r="EJ140" s="31"/>
      <c r="EK140" s="31"/>
      <c r="EL140" s="31"/>
      <c r="EM140" s="31"/>
      <c r="EN140" s="31"/>
      <c r="EO140" s="31"/>
      <c r="EP140" s="31"/>
      <c r="EQ140" s="31"/>
      <c r="ER140" s="31"/>
      <c r="ES140" s="31"/>
      <c r="ET140" s="31"/>
      <c r="EU140" s="31"/>
      <c r="EV140" s="31"/>
      <c r="EW140" s="31"/>
      <c r="EX140" s="31"/>
      <c r="EY140" s="31"/>
      <c r="EZ140" s="31"/>
      <c r="FA140" s="31"/>
      <c r="FB140" s="31"/>
      <c r="FC140" s="31"/>
      <c r="FD140" s="31"/>
      <c r="FE140" s="31"/>
      <c r="FF140" s="31"/>
      <c r="FG140" s="31"/>
      <c r="FH140" s="31"/>
      <c r="FI140" s="31"/>
      <c r="FJ140" s="31"/>
      <c r="FK140" s="31"/>
      <c r="FL140" s="31"/>
      <c r="FM140" s="31"/>
      <c r="FN140" s="31"/>
      <c r="FO140" s="31"/>
      <c r="FP140" s="31"/>
      <c r="FQ140" s="31"/>
      <c r="FR140" s="31"/>
      <c r="FS140" s="31"/>
      <c r="FT140" s="31"/>
      <c r="FU140" s="31"/>
      <c r="FV140" s="31"/>
      <c r="FW140" s="31"/>
      <c r="FX140" s="31"/>
      <c r="FY140" s="31"/>
      <c r="FZ140" s="31"/>
      <c r="GA140" s="31"/>
      <c r="GB140" s="31"/>
      <c r="GC140" s="31"/>
      <c r="GD140" s="31"/>
      <c r="GE140" s="31"/>
      <c r="GF140" s="31"/>
      <c r="GG140" s="31"/>
      <c r="GH140" s="31"/>
      <c r="GI140" s="31"/>
      <c r="GJ140" s="31"/>
      <c r="GK140" s="31"/>
      <c r="GL140" s="31"/>
      <c r="GM140" s="31"/>
      <c r="GN140" s="31"/>
      <c r="GO140" s="31"/>
      <c r="GP140" s="31"/>
      <c r="GQ140" s="31"/>
      <c r="GR140" s="31"/>
      <c r="GS140" s="31"/>
      <c r="GT140" s="31"/>
      <c r="GU140" s="31"/>
      <c r="GV140" s="31"/>
      <c r="GW140" s="31"/>
      <c r="GX140" s="31"/>
      <c r="GY140" s="31"/>
      <c r="GZ140" s="31"/>
      <c r="HA140" s="31"/>
      <c r="HB140" s="31"/>
      <c r="HC140" s="31"/>
      <c r="HD140" s="31"/>
      <c r="HE140" s="31"/>
      <c r="HF140" s="31"/>
      <c r="HG140" s="31"/>
      <c r="HH140" s="31"/>
      <c r="HI140" s="31"/>
      <c r="HJ140" s="31"/>
      <c r="HK140" s="31"/>
      <c r="HL140" s="31"/>
      <c r="HM140" s="31"/>
      <c r="HN140" s="31"/>
      <c r="HO140" s="31"/>
      <c r="HP140" s="31"/>
      <c r="HQ140" s="31"/>
      <c r="HR140" s="31"/>
      <c r="HS140" s="31"/>
      <c r="HT140" s="31"/>
      <c r="HU140" s="31"/>
      <c r="HV140" s="31"/>
      <c r="HW140" s="31"/>
      <c r="HX140" s="31"/>
      <c r="HY140" s="31"/>
      <c r="HZ140" s="31"/>
    </row>
    <row r="141" spans="1:234" ht="14.25" customHeight="1" x14ac:dyDescent="0.35">
      <c r="A141" s="88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30"/>
      <c r="U141" s="27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  <c r="BS141" s="31"/>
      <c r="BT141" s="31"/>
      <c r="BU141" s="31"/>
      <c r="BV141" s="31"/>
      <c r="BW141" s="31"/>
      <c r="BX141" s="31"/>
      <c r="BY141" s="31"/>
      <c r="BZ141" s="31"/>
      <c r="CA141" s="31"/>
      <c r="CB141" s="31"/>
      <c r="CC141" s="31"/>
      <c r="CD141" s="31"/>
      <c r="CE141" s="31"/>
      <c r="CF141" s="31"/>
      <c r="CG141" s="31"/>
      <c r="CH141" s="31"/>
      <c r="CI141" s="31"/>
      <c r="CJ141" s="31"/>
      <c r="CK141" s="31"/>
      <c r="CL141" s="31"/>
      <c r="CM141" s="31"/>
      <c r="CN141" s="31"/>
      <c r="CO141" s="31"/>
      <c r="CP141" s="31"/>
      <c r="CQ141" s="31"/>
      <c r="CR141" s="31"/>
      <c r="CS141" s="31"/>
      <c r="CT141" s="31"/>
      <c r="CU141" s="31"/>
      <c r="CV141" s="31"/>
      <c r="CW141" s="31"/>
      <c r="CX141" s="31"/>
      <c r="CY141" s="31"/>
      <c r="CZ141" s="31"/>
      <c r="DA141" s="31"/>
      <c r="DB141" s="31"/>
      <c r="DC141" s="31"/>
      <c r="DD141" s="31"/>
      <c r="DE141" s="31"/>
      <c r="DF141" s="31"/>
      <c r="DG141" s="31"/>
      <c r="DH141" s="31"/>
      <c r="DI141" s="31"/>
      <c r="DJ141" s="31"/>
      <c r="DK141" s="31"/>
      <c r="DL141" s="31"/>
      <c r="DM141" s="31"/>
      <c r="DN141" s="31"/>
      <c r="DO141" s="31"/>
      <c r="DP141" s="31"/>
      <c r="DQ141" s="31"/>
      <c r="DR141" s="31"/>
      <c r="DS141" s="31"/>
      <c r="DT141" s="31"/>
      <c r="DU141" s="31"/>
      <c r="DV141" s="31"/>
      <c r="DW141" s="31"/>
      <c r="DX141" s="31"/>
      <c r="DY141" s="31"/>
      <c r="DZ141" s="31"/>
      <c r="EA141" s="31"/>
      <c r="EB141" s="31"/>
      <c r="EC141" s="31"/>
      <c r="ED141" s="31"/>
      <c r="EE141" s="31"/>
      <c r="EF141" s="31"/>
      <c r="EG141" s="31"/>
      <c r="EH141" s="31"/>
      <c r="EI141" s="31"/>
      <c r="EJ141" s="31"/>
      <c r="EK141" s="31"/>
      <c r="EL141" s="31"/>
      <c r="EM141" s="31"/>
      <c r="EN141" s="31"/>
      <c r="EO141" s="31"/>
      <c r="EP141" s="31"/>
      <c r="EQ141" s="31"/>
      <c r="ER141" s="31"/>
      <c r="ES141" s="31"/>
      <c r="ET141" s="31"/>
      <c r="EU141" s="31"/>
      <c r="EV141" s="31"/>
      <c r="EW141" s="31"/>
      <c r="EX141" s="31"/>
      <c r="EY141" s="31"/>
      <c r="EZ141" s="31"/>
      <c r="FA141" s="31"/>
      <c r="FB141" s="31"/>
      <c r="FC141" s="31"/>
      <c r="FD141" s="31"/>
      <c r="FE141" s="31"/>
      <c r="FF141" s="31"/>
      <c r="FG141" s="31"/>
      <c r="FH141" s="31"/>
      <c r="FI141" s="31"/>
      <c r="FJ141" s="31"/>
      <c r="FK141" s="31"/>
      <c r="FL141" s="31"/>
      <c r="FM141" s="31"/>
      <c r="FN141" s="31"/>
      <c r="FO141" s="31"/>
      <c r="FP141" s="31"/>
      <c r="FQ141" s="31"/>
      <c r="FR141" s="31"/>
      <c r="FS141" s="31"/>
      <c r="FT141" s="31"/>
      <c r="FU141" s="31"/>
      <c r="FV141" s="31"/>
      <c r="FW141" s="31"/>
      <c r="FX141" s="31"/>
      <c r="FY141" s="31"/>
      <c r="FZ141" s="31"/>
      <c r="GA141" s="31"/>
      <c r="GB141" s="31"/>
      <c r="GC141" s="31"/>
      <c r="GD141" s="31"/>
      <c r="GE141" s="31"/>
      <c r="GF141" s="31"/>
      <c r="GG141" s="31"/>
      <c r="GH141" s="31"/>
      <c r="GI141" s="31"/>
      <c r="GJ141" s="31"/>
      <c r="GK141" s="31"/>
      <c r="GL141" s="31"/>
      <c r="GM141" s="31"/>
      <c r="GN141" s="31"/>
      <c r="GO141" s="31"/>
      <c r="GP141" s="31"/>
      <c r="GQ141" s="31"/>
      <c r="GR141" s="31"/>
      <c r="GS141" s="31"/>
      <c r="GT141" s="31"/>
      <c r="GU141" s="31"/>
      <c r="GV141" s="31"/>
      <c r="GW141" s="31"/>
      <c r="GX141" s="31"/>
      <c r="GY141" s="31"/>
      <c r="GZ141" s="31"/>
      <c r="HA141" s="31"/>
      <c r="HB141" s="31"/>
      <c r="HC141" s="31"/>
      <c r="HD141" s="31"/>
      <c r="HE141" s="31"/>
      <c r="HF141" s="31"/>
      <c r="HG141" s="31"/>
      <c r="HH141" s="31"/>
      <c r="HI141" s="31"/>
      <c r="HJ141" s="31"/>
      <c r="HK141" s="31"/>
      <c r="HL141" s="31"/>
      <c r="HM141" s="31"/>
      <c r="HN141" s="31"/>
      <c r="HO141" s="31"/>
      <c r="HP141" s="31"/>
      <c r="HQ141" s="31"/>
      <c r="HR141" s="31"/>
      <c r="HS141" s="31"/>
      <c r="HT141" s="31"/>
      <c r="HU141" s="31"/>
      <c r="HV141" s="31"/>
      <c r="HW141" s="31"/>
      <c r="HX141" s="31"/>
      <c r="HY141" s="31"/>
      <c r="HZ141" s="31"/>
    </row>
    <row r="142" spans="1:234" ht="14.25" customHeight="1" x14ac:dyDescent="0.35">
      <c r="A142" s="88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30"/>
      <c r="U142" s="27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  <c r="BS142" s="31"/>
      <c r="BT142" s="31"/>
      <c r="BU142" s="31"/>
      <c r="BV142" s="31"/>
      <c r="BW142" s="31"/>
      <c r="BX142" s="31"/>
      <c r="BY142" s="31"/>
      <c r="BZ142" s="31"/>
      <c r="CA142" s="31"/>
      <c r="CB142" s="31"/>
      <c r="CC142" s="31"/>
      <c r="CD142" s="31"/>
      <c r="CE142" s="31"/>
      <c r="CF142" s="31"/>
      <c r="CG142" s="31"/>
      <c r="CH142" s="31"/>
      <c r="CI142" s="31"/>
      <c r="CJ142" s="31"/>
      <c r="CK142" s="31"/>
      <c r="CL142" s="31"/>
      <c r="CM142" s="31"/>
      <c r="CN142" s="31"/>
      <c r="CO142" s="31"/>
      <c r="CP142" s="31"/>
      <c r="CQ142" s="31"/>
      <c r="CR142" s="31"/>
      <c r="CS142" s="31"/>
      <c r="CT142" s="31"/>
      <c r="CU142" s="31"/>
      <c r="CV142" s="31"/>
      <c r="CW142" s="31"/>
      <c r="CX142" s="31"/>
      <c r="CY142" s="31"/>
      <c r="CZ142" s="31"/>
      <c r="DA142" s="31"/>
      <c r="DB142" s="31"/>
      <c r="DC142" s="31"/>
      <c r="DD142" s="31"/>
      <c r="DE142" s="31"/>
      <c r="DF142" s="31"/>
      <c r="DG142" s="31"/>
      <c r="DH142" s="31"/>
      <c r="DI142" s="31"/>
      <c r="DJ142" s="31"/>
      <c r="DK142" s="31"/>
      <c r="DL142" s="31"/>
      <c r="DM142" s="31"/>
      <c r="DN142" s="31"/>
      <c r="DO142" s="31"/>
      <c r="DP142" s="31"/>
      <c r="DQ142" s="31"/>
      <c r="DR142" s="31"/>
      <c r="DS142" s="31"/>
      <c r="DT142" s="31"/>
      <c r="DU142" s="31"/>
      <c r="DV142" s="31"/>
      <c r="DW142" s="31"/>
      <c r="DX142" s="31"/>
      <c r="DY142" s="31"/>
      <c r="DZ142" s="31"/>
      <c r="EA142" s="31"/>
      <c r="EB142" s="31"/>
      <c r="EC142" s="31"/>
      <c r="ED142" s="31"/>
      <c r="EE142" s="31"/>
      <c r="EF142" s="31"/>
      <c r="EG142" s="31"/>
      <c r="EH142" s="31"/>
      <c r="EI142" s="31"/>
      <c r="EJ142" s="31"/>
      <c r="EK142" s="31"/>
      <c r="EL142" s="31"/>
      <c r="EM142" s="31"/>
      <c r="EN142" s="31"/>
      <c r="EO142" s="31"/>
      <c r="EP142" s="31"/>
      <c r="EQ142" s="31"/>
      <c r="ER142" s="31"/>
      <c r="ES142" s="31"/>
      <c r="ET142" s="31"/>
      <c r="EU142" s="31"/>
      <c r="EV142" s="31"/>
      <c r="EW142" s="31"/>
      <c r="EX142" s="31"/>
      <c r="EY142" s="31"/>
      <c r="EZ142" s="31"/>
      <c r="FA142" s="31"/>
      <c r="FB142" s="31"/>
      <c r="FC142" s="31"/>
      <c r="FD142" s="31"/>
      <c r="FE142" s="31"/>
      <c r="FF142" s="31"/>
      <c r="FG142" s="31"/>
      <c r="FH142" s="31"/>
      <c r="FI142" s="31"/>
      <c r="FJ142" s="31"/>
      <c r="FK142" s="31"/>
      <c r="FL142" s="31"/>
      <c r="FM142" s="31"/>
      <c r="FN142" s="31"/>
      <c r="FO142" s="31"/>
      <c r="FP142" s="31"/>
      <c r="FQ142" s="31"/>
      <c r="FR142" s="31"/>
      <c r="FS142" s="31"/>
      <c r="FT142" s="31"/>
      <c r="FU142" s="31"/>
      <c r="FV142" s="31"/>
      <c r="FW142" s="31"/>
      <c r="FX142" s="31"/>
      <c r="FY142" s="31"/>
      <c r="FZ142" s="31"/>
      <c r="GA142" s="31"/>
      <c r="GB142" s="31"/>
      <c r="GC142" s="31"/>
      <c r="GD142" s="31"/>
      <c r="GE142" s="31"/>
      <c r="GF142" s="31"/>
      <c r="GG142" s="31"/>
      <c r="GH142" s="31"/>
      <c r="GI142" s="31"/>
      <c r="GJ142" s="31"/>
      <c r="GK142" s="31"/>
      <c r="GL142" s="31"/>
      <c r="GM142" s="31"/>
      <c r="GN142" s="31"/>
      <c r="GO142" s="31"/>
      <c r="GP142" s="31"/>
      <c r="GQ142" s="31"/>
      <c r="GR142" s="31"/>
      <c r="GS142" s="31"/>
      <c r="GT142" s="31"/>
      <c r="GU142" s="31"/>
      <c r="GV142" s="31"/>
      <c r="GW142" s="31"/>
      <c r="GX142" s="31"/>
      <c r="GY142" s="31"/>
      <c r="GZ142" s="31"/>
      <c r="HA142" s="31"/>
      <c r="HB142" s="31"/>
      <c r="HC142" s="31"/>
      <c r="HD142" s="31"/>
      <c r="HE142" s="31"/>
      <c r="HF142" s="31"/>
      <c r="HG142" s="31"/>
      <c r="HH142" s="31"/>
      <c r="HI142" s="31"/>
      <c r="HJ142" s="31"/>
      <c r="HK142" s="31"/>
      <c r="HL142" s="31"/>
      <c r="HM142" s="31"/>
      <c r="HN142" s="31"/>
      <c r="HO142" s="31"/>
      <c r="HP142" s="31"/>
      <c r="HQ142" s="31"/>
      <c r="HR142" s="31"/>
      <c r="HS142" s="31"/>
      <c r="HT142" s="31"/>
      <c r="HU142" s="31"/>
      <c r="HV142" s="31"/>
      <c r="HW142" s="31"/>
      <c r="HX142" s="31"/>
      <c r="HY142" s="31"/>
      <c r="HZ142" s="31"/>
    </row>
    <row r="143" spans="1:234" ht="14.25" customHeight="1" x14ac:dyDescent="0.35">
      <c r="A143" s="88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30"/>
      <c r="U143" s="27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  <c r="BS143" s="31"/>
      <c r="BT143" s="31"/>
      <c r="BU143" s="31"/>
      <c r="BV143" s="31"/>
      <c r="BW143" s="31"/>
      <c r="BX143" s="31"/>
      <c r="BY143" s="31"/>
      <c r="BZ143" s="31"/>
      <c r="CA143" s="31"/>
      <c r="CB143" s="31"/>
      <c r="CC143" s="31"/>
      <c r="CD143" s="31"/>
      <c r="CE143" s="31"/>
      <c r="CF143" s="31"/>
      <c r="CG143" s="31"/>
      <c r="CH143" s="31"/>
      <c r="CI143" s="31"/>
      <c r="CJ143" s="31"/>
      <c r="CK143" s="31"/>
      <c r="CL143" s="31"/>
      <c r="CM143" s="31"/>
      <c r="CN143" s="31"/>
      <c r="CO143" s="31"/>
      <c r="CP143" s="31"/>
      <c r="CQ143" s="31"/>
      <c r="CR143" s="31"/>
      <c r="CS143" s="31"/>
      <c r="CT143" s="31"/>
      <c r="CU143" s="31"/>
      <c r="CV143" s="31"/>
      <c r="CW143" s="31"/>
      <c r="CX143" s="31"/>
      <c r="CY143" s="31"/>
      <c r="CZ143" s="31"/>
      <c r="DA143" s="31"/>
      <c r="DB143" s="31"/>
      <c r="DC143" s="31"/>
      <c r="DD143" s="31"/>
      <c r="DE143" s="31"/>
      <c r="DF143" s="31"/>
      <c r="DG143" s="31"/>
      <c r="DH143" s="31"/>
      <c r="DI143" s="31"/>
      <c r="DJ143" s="31"/>
      <c r="DK143" s="31"/>
      <c r="DL143" s="31"/>
      <c r="DM143" s="31"/>
      <c r="DN143" s="31"/>
      <c r="DO143" s="31"/>
      <c r="DP143" s="31"/>
      <c r="DQ143" s="31"/>
      <c r="DR143" s="31"/>
      <c r="DS143" s="31"/>
      <c r="DT143" s="31"/>
      <c r="DU143" s="31"/>
      <c r="DV143" s="31"/>
      <c r="DW143" s="31"/>
      <c r="DX143" s="31"/>
      <c r="DY143" s="31"/>
      <c r="DZ143" s="31"/>
      <c r="EA143" s="31"/>
      <c r="EB143" s="31"/>
      <c r="EC143" s="31"/>
      <c r="ED143" s="31"/>
      <c r="EE143" s="31"/>
      <c r="EF143" s="31"/>
      <c r="EG143" s="31"/>
      <c r="EH143" s="31"/>
      <c r="EI143" s="31"/>
      <c r="EJ143" s="31"/>
      <c r="EK143" s="31"/>
      <c r="EL143" s="31"/>
      <c r="EM143" s="31"/>
      <c r="EN143" s="31"/>
      <c r="EO143" s="31"/>
      <c r="EP143" s="31"/>
      <c r="EQ143" s="31"/>
      <c r="ER143" s="31"/>
      <c r="ES143" s="31"/>
      <c r="ET143" s="31"/>
      <c r="EU143" s="31"/>
      <c r="EV143" s="31"/>
      <c r="EW143" s="31"/>
      <c r="EX143" s="31"/>
      <c r="EY143" s="31"/>
      <c r="EZ143" s="31"/>
      <c r="FA143" s="31"/>
      <c r="FB143" s="31"/>
      <c r="FC143" s="31"/>
      <c r="FD143" s="31"/>
      <c r="FE143" s="31"/>
      <c r="FF143" s="31"/>
      <c r="FG143" s="31"/>
      <c r="FH143" s="31"/>
      <c r="FI143" s="31"/>
      <c r="FJ143" s="31"/>
      <c r="FK143" s="31"/>
      <c r="FL143" s="31"/>
      <c r="FM143" s="31"/>
      <c r="FN143" s="31"/>
      <c r="FO143" s="31"/>
      <c r="FP143" s="31"/>
      <c r="FQ143" s="31"/>
      <c r="FR143" s="31"/>
      <c r="FS143" s="31"/>
      <c r="FT143" s="31"/>
      <c r="FU143" s="31"/>
      <c r="FV143" s="31"/>
      <c r="FW143" s="31"/>
      <c r="FX143" s="31"/>
      <c r="FY143" s="31"/>
      <c r="FZ143" s="31"/>
      <c r="GA143" s="31"/>
      <c r="GB143" s="31"/>
      <c r="GC143" s="31"/>
      <c r="GD143" s="31"/>
      <c r="GE143" s="31"/>
      <c r="GF143" s="31"/>
      <c r="GG143" s="31"/>
      <c r="GH143" s="31"/>
      <c r="GI143" s="31"/>
      <c r="GJ143" s="31"/>
      <c r="GK143" s="31"/>
      <c r="GL143" s="31"/>
      <c r="GM143" s="31"/>
      <c r="GN143" s="31"/>
      <c r="GO143" s="31"/>
      <c r="GP143" s="31"/>
      <c r="GQ143" s="31"/>
      <c r="GR143" s="31"/>
      <c r="GS143" s="31"/>
      <c r="GT143" s="31"/>
      <c r="GU143" s="31"/>
      <c r="GV143" s="31"/>
      <c r="GW143" s="31"/>
      <c r="GX143" s="31"/>
      <c r="GY143" s="31"/>
      <c r="GZ143" s="31"/>
      <c r="HA143" s="31"/>
      <c r="HB143" s="31"/>
      <c r="HC143" s="31"/>
      <c r="HD143" s="31"/>
      <c r="HE143" s="31"/>
      <c r="HF143" s="31"/>
      <c r="HG143" s="31"/>
      <c r="HH143" s="31"/>
      <c r="HI143" s="31"/>
      <c r="HJ143" s="31"/>
      <c r="HK143" s="31"/>
      <c r="HL143" s="31"/>
      <c r="HM143" s="31"/>
      <c r="HN143" s="31"/>
      <c r="HO143" s="31"/>
      <c r="HP143" s="31"/>
      <c r="HQ143" s="31"/>
      <c r="HR143" s="31"/>
      <c r="HS143" s="31"/>
      <c r="HT143" s="31"/>
      <c r="HU143" s="31"/>
      <c r="HV143" s="31"/>
      <c r="HW143" s="31"/>
      <c r="HX143" s="31"/>
      <c r="HY143" s="31"/>
      <c r="HZ143" s="31"/>
    </row>
    <row r="144" spans="1:234" ht="14.25" customHeight="1" x14ac:dyDescent="0.35">
      <c r="A144" s="88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30"/>
      <c r="U144" s="27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  <c r="BS144" s="31"/>
      <c r="BT144" s="31"/>
      <c r="BU144" s="31"/>
      <c r="BV144" s="31"/>
      <c r="BW144" s="31"/>
      <c r="BX144" s="31"/>
      <c r="BY144" s="31"/>
      <c r="BZ144" s="31"/>
      <c r="CA144" s="31"/>
      <c r="CB144" s="31"/>
      <c r="CC144" s="31"/>
      <c r="CD144" s="31"/>
      <c r="CE144" s="31"/>
      <c r="CF144" s="31"/>
      <c r="CG144" s="31"/>
      <c r="CH144" s="31"/>
      <c r="CI144" s="31"/>
      <c r="CJ144" s="31"/>
      <c r="CK144" s="31"/>
      <c r="CL144" s="31"/>
      <c r="CM144" s="31"/>
      <c r="CN144" s="31"/>
      <c r="CO144" s="31"/>
      <c r="CP144" s="31"/>
      <c r="CQ144" s="31"/>
      <c r="CR144" s="31"/>
      <c r="CS144" s="31"/>
      <c r="CT144" s="31"/>
      <c r="CU144" s="31"/>
      <c r="CV144" s="31"/>
      <c r="CW144" s="31"/>
      <c r="CX144" s="31"/>
      <c r="CY144" s="31"/>
      <c r="CZ144" s="31"/>
      <c r="DA144" s="31"/>
      <c r="DB144" s="31"/>
      <c r="DC144" s="31"/>
      <c r="DD144" s="31"/>
      <c r="DE144" s="31"/>
      <c r="DF144" s="31"/>
      <c r="DG144" s="31"/>
      <c r="DH144" s="31"/>
      <c r="DI144" s="31"/>
      <c r="DJ144" s="31"/>
      <c r="DK144" s="31"/>
      <c r="DL144" s="31"/>
      <c r="DM144" s="31"/>
      <c r="DN144" s="31"/>
      <c r="DO144" s="31"/>
      <c r="DP144" s="31"/>
      <c r="DQ144" s="31"/>
      <c r="DR144" s="31"/>
      <c r="DS144" s="31"/>
      <c r="DT144" s="31"/>
      <c r="DU144" s="31"/>
      <c r="DV144" s="31"/>
      <c r="DW144" s="31"/>
      <c r="DX144" s="31"/>
      <c r="DY144" s="31"/>
      <c r="DZ144" s="31"/>
      <c r="EA144" s="31"/>
      <c r="EB144" s="31"/>
      <c r="EC144" s="31"/>
      <c r="ED144" s="31"/>
      <c r="EE144" s="31"/>
      <c r="EF144" s="31"/>
      <c r="EG144" s="31"/>
      <c r="EH144" s="31"/>
      <c r="EI144" s="31"/>
      <c r="EJ144" s="31"/>
      <c r="EK144" s="31"/>
      <c r="EL144" s="31"/>
      <c r="EM144" s="31"/>
      <c r="EN144" s="31"/>
      <c r="EO144" s="31"/>
      <c r="EP144" s="31"/>
      <c r="EQ144" s="31"/>
      <c r="ER144" s="31"/>
      <c r="ES144" s="31"/>
      <c r="ET144" s="31"/>
      <c r="EU144" s="31"/>
      <c r="EV144" s="31"/>
      <c r="EW144" s="31"/>
      <c r="EX144" s="31"/>
      <c r="EY144" s="31"/>
      <c r="EZ144" s="31"/>
      <c r="FA144" s="31"/>
      <c r="FB144" s="31"/>
      <c r="FC144" s="31"/>
      <c r="FD144" s="31"/>
      <c r="FE144" s="31"/>
      <c r="FF144" s="31"/>
      <c r="FG144" s="31"/>
      <c r="FH144" s="31"/>
      <c r="FI144" s="31"/>
      <c r="FJ144" s="31"/>
      <c r="FK144" s="31"/>
      <c r="FL144" s="31"/>
      <c r="FM144" s="31"/>
      <c r="FN144" s="31"/>
      <c r="FO144" s="31"/>
      <c r="FP144" s="31"/>
      <c r="FQ144" s="31"/>
      <c r="FR144" s="31"/>
      <c r="FS144" s="31"/>
      <c r="FT144" s="31"/>
      <c r="FU144" s="31"/>
      <c r="FV144" s="31"/>
      <c r="FW144" s="31"/>
      <c r="FX144" s="31"/>
      <c r="FY144" s="31"/>
      <c r="FZ144" s="31"/>
      <c r="GA144" s="31"/>
      <c r="GB144" s="31"/>
      <c r="GC144" s="31"/>
      <c r="GD144" s="31"/>
      <c r="GE144" s="31"/>
      <c r="GF144" s="31"/>
      <c r="GG144" s="31"/>
      <c r="GH144" s="31"/>
      <c r="GI144" s="31"/>
      <c r="GJ144" s="31"/>
      <c r="GK144" s="31"/>
      <c r="GL144" s="31"/>
      <c r="GM144" s="31"/>
      <c r="GN144" s="31"/>
      <c r="GO144" s="31"/>
      <c r="GP144" s="31"/>
      <c r="GQ144" s="31"/>
      <c r="GR144" s="31"/>
      <c r="GS144" s="31"/>
      <c r="GT144" s="31"/>
      <c r="GU144" s="31"/>
      <c r="GV144" s="31"/>
      <c r="GW144" s="31"/>
      <c r="GX144" s="31"/>
      <c r="GY144" s="31"/>
      <c r="GZ144" s="31"/>
      <c r="HA144" s="31"/>
      <c r="HB144" s="31"/>
      <c r="HC144" s="31"/>
      <c r="HD144" s="31"/>
      <c r="HE144" s="31"/>
      <c r="HF144" s="31"/>
      <c r="HG144" s="31"/>
      <c r="HH144" s="31"/>
      <c r="HI144" s="31"/>
      <c r="HJ144" s="31"/>
      <c r="HK144" s="31"/>
      <c r="HL144" s="31"/>
      <c r="HM144" s="31"/>
      <c r="HN144" s="31"/>
      <c r="HO144" s="31"/>
      <c r="HP144" s="31"/>
      <c r="HQ144" s="31"/>
      <c r="HR144" s="31"/>
      <c r="HS144" s="31"/>
      <c r="HT144" s="31"/>
      <c r="HU144" s="31"/>
      <c r="HV144" s="31"/>
      <c r="HW144" s="31"/>
      <c r="HX144" s="31"/>
      <c r="HY144" s="31"/>
      <c r="HZ144" s="31"/>
    </row>
    <row r="145" spans="1:234" ht="14.25" customHeight="1" x14ac:dyDescent="0.35">
      <c r="A145" s="88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30"/>
      <c r="U145" s="27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  <c r="BS145" s="31"/>
      <c r="BT145" s="31"/>
      <c r="BU145" s="31"/>
      <c r="BV145" s="31"/>
      <c r="BW145" s="31"/>
      <c r="BX145" s="31"/>
      <c r="BY145" s="31"/>
      <c r="BZ145" s="31"/>
      <c r="CA145" s="31"/>
      <c r="CB145" s="31"/>
      <c r="CC145" s="31"/>
      <c r="CD145" s="31"/>
      <c r="CE145" s="31"/>
      <c r="CF145" s="31"/>
      <c r="CG145" s="31"/>
      <c r="CH145" s="31"/>
      <c r="CI145" s="31"/>
      <c r="CJ145" s="31"/>
      <c r="CK145" s="31"/>
      <c r="CL145" s="31"/>
      <c r="CM145" s="31"/>
      <c r="CN145" s="31"/>
      <c r="CO145" s="31"/>
      <c r="CP145" s="31"/>
      <c r="CQ145" s="31"/>
      <c r="CR145" s="31"/>
      <c r="CS145" s="31"/>
      <c r="CT145" s="31"/>
      <c r="CU145" s="31"/>
      <c r="CV145" s="31"/>
      <c r="CW145" s="31"/>
      <c r="CX145" s="31"/>
      <c r="CY145" s="31"/>
      <c r="CZ145" s="31"/>
      <c r="DA145" s="31"/>
      <c r="DB145" s="31"/>
      <c r="DC145" s="31"/>
      <c r="DD145" s="31"/>
      <c r="DE145" s="31"/>
      <c r="DF145" s="31"/>
      <c r="DG145" s="31"/>
      <c r="DH145" s="31"/>
      <c r="DI145" s="31"/>
      <c r="DJ145" s="31"/>
      <c r="DK145" s="31"/>
      <c r="DL145" s="31"/>
      <c r="DM145" s="31"/>
      <c r="DN145" s="31"/>
      <c r="DO145" s="31"/>
      <c r="DP145" s="31"/>
      <c r="DQ145" s="31"/>
      <c r="DR145" s="31"/>
      <c r="DS145" s="31"/>
      <c r="DT145" s="31"/>
      <c r="DU145" s="31"/>
      <c r="DV145" s="31"/>
      <c r="DW145" s="31"/>
      <c r="DX145" s="31"/>
      <c r="DY145" s="31"/>
      <c r="DZ145" s="31"/>
      <c r="EA145" s="31"/>
      <c r="EB145" s="31"/>
      <c r="EC145" s="31"/>
      <c r="ED145" s="31"/>
      <c r="EE145" s="31"/>
      <c r="EF145" s="31"/>
      <c r="EG145" s="31"/>
      <c r="EH145" s="31"/>
      <c r="EI145" s="31"/>
      <c r="EJ145" s="31"/>
      <c r="EK145" s="31"/>
      <c r="EL145" s="31"/>
      <c r="EM145" s="31"/>
      <c r="EN145" s="31"/>
      <c r="EO145" s="31"/>
      <c r="EP145" s="31"/>
      <c r="EQ145" s="31"/>
      <c r="ER145" s="31"/>
      <c r="ES145" s="31"/>
      <c r="ET145" s="31"/>
      <c r="EU145" s="31"/>
      <c r="EV145" s="31"/>
      <c r="EW145" s="31"/>
      <c r="EX145" s="31"/>
      <c r="EY145" s="31"/>
      <c r="EZ145" s="31"/>
      <c r="FA145" s="31"/>
      <c r="FB145" s="31"/>
      <c r="FC145" s="31"/>
      <c r="FD145" s="31"/>
      <c r="FE145" s="31"/>
      <c r="FF145" s="31"/>
      <c r="FG145" s="31"/>
      <c r="FH145" s="31"/>
      <c r="FI145" s="31"/>
      <c r="FJ145" s="31"/>
      <c r="FK145" s="31"/>
      <c r="FL145" s="31"/>
      <c r="FM145" s="31"/>
      <c r="FN145" s="31"/>
      <c r="FO145" s="31"/>
      <c r="FP145" s="31"/>
      <c r="FQ145" s="31"/>
      <c r="FR145" s="31"/>
      <c r="FS145" s="31"/>
      <c r="FT145" s="31"/>
      <c r="FU145" s="31"/>
      <c r="FV145" s="31"/>
      <c r="FW145" s="31"/>
      <c r="FX145" s="31"/>
      <c r="FY145" s="31"/>
      <c r="FZ145" s="31"/>
      <c r="GA145" s="31"/>
      <c r="GB145" s="31"/>
      <c r="GC145" s="31"/>
      <c r="GD145" s="31"/>
      <c r="GE145" s="31"/>
      <c r="GF145" s="31"/>
      <c r="GG145" s="31"/>
      <c r="GH145" s="31"/>
      <c r="GI145" s="31"/>
      <c r="GJ145" s="31"/>
      <c r="GK145" s="31"/>
      <c r="GL145" s="31"/>
      <c r="GM145" s="31"/>
      <c r="GN145" s="31"/>
      <c r="GO145" s="31"/>
      <c r="GP145" s="31"/>
      <c r="GQ145" s="31"/>
      <c r="GR145" s="31"/>
      <c r="GS145" s="31"/>
      <c r="GT145" s="31"/>
      <c r="GU145" s="31"/>
      <c r="GV145" s="31"/>
      <c r="GW145" s="31"/>
      <c r="GX145" s="31"/>
      <c r="GY145" s="31"/>
      <c r="GZ145" s="31"/>
      <c r="HA145" s="31"/>
      <c r="HB145" s="31"/>
      <c r="HC145" s="31"/>
      <c r="HD145" s="31"/>
      <c r="HE145" s="31"/>
      <c r="HF145" s="31"/>
      <c r="HG145" s="31"/>
      <c r="HH145" s="31"/>
      <c r="HI145" s="31"/>
      <c r="HJ145" s="31"/>
      <c r="HK145" s="31"/>
      <c r="HL145" s="31"/>
      <c r="HM145" s="31"/>
      <c r="HN145" s="31"/>
      <c r="HO145" s="31"/>
      <c r="HP145" s="31"/>
      <c r="HQ145" s="31"/>
      <c r="HR145" s="31"/>
      <c r="HS145" s="31"/>
      <c r="HT145" s="31"/>
      <c r="HU145" s="31"/>
      <c r="HV145" s="31"/>
      <c r="HW145" s="31"/>
      <c r="HX145" s="31"/>
      <c r="HY145" s="31"/>
      <c r="HZ145" s="31"/>
    </row>
    <row r="146" spans="1:234" ht="14.25" customHeight="1" x14ac:dyDescent="0.35">
      <c r="A146" s="88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30"/>
      <c r="U146" s="27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  <c r="BS146" s="31"/>
      <c r="BT146" s="31"/>
      <c r="BU146" s="31"/>
      <c r="BV146" s="31"/>
      <c r="BW146" s="31"/>
      <c r="BX146" s="31"/>
      <c r="BY146" s="31"/>
      <c r="BZ146" s="31"/>
      <c r="CA146" s="31"/>
      <c r="CB146" s="31"/>
      <c r="CC146" s="31"/>
      <c r="CD146" s="31"/>
      <c r="CE146" s="31"/>
      <c r="CF146" s="31"/>
      <c r="CG146" s="31"/>
      <c r="CH146" s="31"/>
      <c r="CI146" s="31"/>
      <c r="CJ146" s="31"/>
      <c r="CK146" s="31"/>
      <c r="CL146" s="31"/>
      <c r="CM146" s="31"/>
      <c r="CN146" s="31"/>
      <c r="CO146" s="31"/>
      <c r="CP146" s="31"/>
      <c r="CQ146" s="31"/>
      <c r="CR146" s="31"/>
      <c r="CS146" s="31"/>
      <c r="CT146" s="31"/>
      <c r="CU146" s="31"/>
      <c r="CV146" s="31"/>
      <c r="CW146" s="31"/>
      <c r="CX146" s="31"/>
      <c r="CY146" s="31"/>
      <c r="CZ146" s="31"/>
      <c r="DA146" s="31"/>
      <c r="DB146" s="31"/>
      <c r="DC146" s="31"/>
      <c r="DD146" s="31"/>
      <c r="DE146" s="31"/>
      <c r="DF146" s="31"/>
      <c r="DG146" s="31"/>
      <c r="DH146" s="31"/>
      <c r="DI146" s="31"/>
      <c r="DJ146" s="31"/>
      <c r="DK146" s="31"/>
      <c r="DL146" s="31"/>
      <c r="DM146" s="31"/>
      <c r="DN146" s="31"/>
      <c r="DO146" s="31"/>
      <c r="DP146" s="31"/>
      <c r="DQ146" s="31"/>
      <c r="DR146" s="31"/>
      <c r="DS146" s="31"/>
      <c r="DT146" s="31"/>
      <c r="DU146" s="31"/>
      <c r="DV146" s="31"/>
      <c r="DW146" s="31"/>
      <c r="DX146" s="31"/>
      <c r="DY146" s="31"/>
      <c r="DZ146" s="31"/>
      <c r="EA146" s="31"/>
      <c r="EB146" s="31"/>
      <c r="EC146" s="31"/>
      <c r="ED146" s="31"/>
      <c r="EE146" s="31"/>
      <c r="EF146" s="31"/>
      <c r="EG146" s="31"/>
      <c r="EH146" s="31"/>
      <c r="EI146" s="31"/>
      <c r="EJ146" s="31"/>
      <c r="EK146" s="31"/>
      <c r="EL146" s="31"/>
      <c r="EM146" s="31"/>
      <c r="EN146" s="31"/>
      <c r="EO146" s="31"/>
      <c r="EP146" s="31"/>
      <c r="EQ146" s="31"/>
      <c r="ER146" s="31"/>
      <c r="ES146" s="31"/>
      <c r="ET146" s="31"/>
      <c r="EU146" s="31"/>
      <c r="EV146" s="31"/>
      <c r="EW146" s="31"/>
      <c r="EX146" s="31"/>
      <c r="EY146" s="31"/>
      <c r="EZ146" s="31"/>
      <c r="FA146" s="31"/>
      <c r="FB146" s="31"/>
      <c r="FC146" s="31"/>
      <c r="FD146" s="31"/>
      <c r="FE146" s="31"/>
      <c r="FF146" s="31"/>
      <c r="FG146" s="31"/>
      <c r="FH146" s="31"/>
      <c r="FI146" s="31"/>
      <c r="FJ146" s="31"/>
      <c r="FK146" s="31"/>
      <c r="FL146" s="31"/>
      <c r="FM146" s="31"/>
      <c r="FN146" s="31"/>
      <c r="FO146" s="31"/>
      <c r="FP146" s="31"/>
      <c r="FQ146" s="31"/>
      <c r="FR146" s="31"/>
      <c r="FS146" s="31"/>
      <c r="FT146" s="31"/>
      <c r="FU146" s="31"/>
      <c r="FV146" s="31"/>
      <c r="FW146" s="31"/>
      <c r="FX146" s="31"/>
      <c r="FY146" s="31"/>
      <c r="FZ146" s="31"/>
      <c r="GA146" s="31"/>
      <c r="GB146" s="31"/>
      <c r="GC146" s="31"/>
      <c r="GD146" s="31"/>
      <c r="GE146" s="31"/>
      <c r="GF146" s="31"/>
      <c r="GG146" s="31"/>
      <c r="GH146" s="31"/>
      <c r="GI146" s="31"/>
      <c r="GJ146" s="31"/>
      <c r="GK146" s="31"/>
      <c r="GL146" s="31"/>
      <c r="GM146" s="31"/>
      <c r="GN146" s="31"/>
      <c r="GO146" s="31"/>
      <c r="GP146" s="31"/>
      <c r="GQ146" s="31"/>
      <c r="GR146" s="31"/>
      <c r="GS146" s="31"/>
      <c r="GT146" s="31"/>
      <c r="GU146" s="31"/>
      <c r="GV146" s="31"/>
      <c r="GW146" s="31"/>
      <c r="GX146" s="31"/>
      <c r="GY146" s="31"/>
      <c r="GZ146" s="31"/>
      <c r="HA146" s="31"/>
      <c r="HB146" s="31"/>
      <c r="HC146" s="31"/>
      <c r="HD146" s="31"/>
      <c r="HE146" s="31"/>
      <c r="HF146" s="31"/>
      <c r="HG146" s="31"/>
      <c r="HH146" s="31"/>
      <c r="HI146" s="31"/>
      <c r="HJ146" s="31"/>
      <c r="HK146" s="31"/>
      <c r="HL146" s="31"/>
      <c r="HM146" s="31"/>
      <c r="HN146" s="31"/>
      <c r="HO146" s="31"/>
      <c r="HP146" s="31"/>
      <c r="HQ146" s="31"/>
      <c r="HR146" s="31"/>
      <c r="HS146" s="31"/>
      <c r="HT146" s="31"/>
      <c r="HU146" s="31"/>
      <c r="HV146" s="31"/>
      <c r="HW146" s="31"/>
      <c r="HX146" s="31"/>
      <c r="HY146" s="31"/>
      <c r="HZ146" s="31"/>
    </row>
    <row r="147" spans="1:234" ht="14.25" customHeight="1" x14ac:dyDescent="0.35">
      <c r="A147" s="88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30"/>
      <c r="U147" s="27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  <c r="BS147" s="31"/>
      <c r="BT147" s="31"/>
      <c r="BU147" s="31"/>
      <c r="BV147" s="31"/>
      <c r="BW147" s="31"/>
      <c r="BX147" s="31"/>
      <c r="BY147" s="31"/>
      <c r="BZ147" s="31"/>
      <c r="CA147" s="31"/>
      <c r="CB147" s="31"/>
      <c r="CC147" s="31"/>
      <c r="CD147" s="31"/>
      <c r="CE147" s="31"/>
      <c r="CF147" s="31"/>
      <c r="CG147" s="31"/>
      <c r="CH147" s="31"/>
      <c r="CI147" s="31"/>
      <c r="CJ147" s="31"/>
      <c r="CK147" s="31"/>
      <c r="CL147" s="31"/>
      <c r="CM147" s="31"/>
      <c r="CN147" s="31"/>
      <c r="CO147" s="31"/>
      <c r="CP147" s="31"/>
      <c r="CQ147" s="31"/>
      <c r="CR147" s="31"/>
      <c r="CS147" s="31"/>
      <c r="CT147" s="31"/>
      <c r="CU147" s="31"/>
      <c r="CV147" s="31"/>
      <c r="CW147" s="31"/>
      <c r="CX147" s="31"/>
      <c r="CY147" s="31"/>
      <c r="CZ147" s="31"/>
      <c r="DA147" s="31"/>
      <c r="DB147" s="31"/>
      <c r="DC147" s="31"/>
      <c r="DD147" s="31"/>
      <c r="DE147" s="31"/>
      <c r="DF147" s="31"/>
      <c r="DG147" s="31"/>
      <c r="DH147" s="31"/>
      <c r="DI147" s="31"/>
      <c r="DJ147" s="31"/>
      <c r="DK147" s="31"/>
      <c r="DL147" s="31"/>
      <c r="DM147" s="31"/>
      <c r="DN147" s="31"/>
      <c r="DO147" s="31"/>
      <c r="DP147" s="31"/>
      <c r="DQ147" s="31"/>
      <c r="DR147" s="31"/>
      <c r="DS147" s="31"/>
      <c r="DT147" s="31"/>
      <c r="DU147" s="31"/>
      <c r="DV147" s="31"/>
      <c r="DW147" s="31"/>
      <c r="DX147" s="31"/>
      <c r="DY147" s="31"/>
      <c r="DZ147" s="31"/>
      <c r="EA147" s="31"/>
      <c r="EB147" s="31"/>
      <c r="EC147" s="31"/>
      <c r="ED147" s="31"/>
      <c r="EE147" s="31"/>
      <c r="EF147" s="31"/>
      <c r="EG147" s="31"/>
      <c r="EH147" s="31"/>
      <c r="EI147" s="31"/>
      <c r="EJ147" s="31"/>
      <c r="EK147" s="31"/>
      <c r="EL147" s="31"/>
      <c r="EM147" s="31"/>
      <c r="EN147" s="31"/>
      <c r="EO147" s="31"/>
      <c r="EP147" s="31"/>
      <c r="EQ147" s="31"/>
      <c r="ER147" s="31"/>
      <c r="ES147" s="31"/>
      <c r="ET147" s="31"/>
      <c r="EU147" s="31"/>
      <c r="EV147" s="31"/>
      <c r="EW147" s="31"/>
      <c r="EX147" s="31"/>
      <c r="EY147" s="31"/>
      <c r="EZ147" s="31"/>
      <c r="FA147" s="31"/>
      <c r="FB147" s="31"/>
      <c r="FC147" s="31"/>
      <c r="FD147" s="31"/>
      <c r="FE147" s="31"/>
      <c r="FF147" s="31"/>
      <c r="FG147" s="31"/>
      <c r="FH147" s="31"/>
      <c r="FI147" s="31"/>
      <c r="FJ147" s="31"/>
      <c r="FK147" s="31"/>
      <c r="FL147" s="31"/>
      <c r="FM147" s="31"/>
      <c r="FN147" s="31"/>
      <c r="FO147" s="31"/>
      <c r="FP147" s="31"/>
      <c r="FQ147" s="31"/>
      <c r="FR147" s="31"/>
      <c r="FS147" s="31"/>
      <c r="FT147" s="31"/>
      <c r="FU147" s="31"/>
      <c r="FV147" s="31"/>
      <c r="FW147" s="31"/>
      <c r="FX147" s="31"/>
      <c r="FY147" s="31"/>
      <c r="FZ147" s="31"/>
      <c r="GA147" s="31"/>
      <c r="GB147" s="31"/>
      <c r="GC147" s="31"/>
      <c r="GD147" s="31"/>
      <c r="GE147" s="31"/>
      <c r="GF147" s="31"/>
      <c r="GG147" s="31"/>
      <c r="GH147" s="31"/>
      <c r="GI147" s="31"/>
      <c r="GJ147" s="31"/>
      <c r="GK147" s="31"/>
      <c r="GL147" s="31"/>
      <c r="GM147" s="31"/>
      <c r="GN147" s="31"/>
      <c r="GO147" s="31"/>
      <c r="GP147" s="31"/>
      <c r="GQ147" s="31"/>
      <c r="GR147" s="31"/>
      <c r="GS147" s="31"/>
      <c r="GT147" s="31"/>
      <c r="GU147" s="31"/>
      <c r="GV147" s="31"/>
      <c r="GW147" s="31"/>
      <c r="GX147" s="31"/>
      <c r="GY147" s="31"/>
      <c r="GZ147" s="31"/>
      <c r="HA147" s="31"/>
      <c r="HB147" s="31"/>
      <c r="HC147" s="31"/>
      <c r="HD147" s="31"/>
      <c r="HE147" s="31"/>
      <c r="HF147" s="31"/>
      <c r="HG147" s="31"/>
      <c r="HH147" s="31"/>
      <c r="HI147" s="31"/>
      <c r="HJ147" s="31"/>
      <c r="HK147" s="31"/>
      <c r="HL147" s="31"/>
      <c r="HM147" s="31"/>
      <c r="HN147" s="31"/>
      <c r="HO147" s="31"/>
      <c r="HP147" s="31"/>
      <c r="HQ147" s="31"/>
      <c r="HR147" s="31"/>
      <c r="HS147" s="31"/>
      <c r="HT147" s="31"/>
      <c r="HU147" s="31"/>
      <c r="HV147" s="31"/>
      <c r="HW147" s="31"/>
      <c r="HX147" s="31"/>
      <c r="HY147" s="31"/>
      <c r="HZ147" s="31"/>
    </row>
    <row r="148" spans="1:234" ht="14.25" customHeight="1" x14ac:dyDescent="0.35">
      <c r="A148" s="88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30"/>
      <c r="U148" s="27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  <c r="BS148" s="31"/>
      <c r="BT148" s="31"/>
      <c r="BU148" s="31"/>
      <c r="BV148" s="31"/>
      <c r="BW148" s="31"/>
      <c r="BX148" s="31"/>
      <c r="BY148" s="31"/>
      <c r="BZ148" s="31"/>
      <c r="CA148" s="31"/>
      <c r="CB148" s="31"/>
      <c r="CC148" s="31"/>
      <c r="CD148" s="31"/>
      <c r="CE148" s="31"/>
      <c r="CF148" s="31"/>
      <c r="CG148" s="31"/>
      <c r="CH148" s="31"/>
      <c r="CI148" s="31"/>
      <c r="CJ148" s="31"/>
      <c r="CK148" s="31"/>
      <c r="CL148" s="31"/>
      <c r="CM148" s="31"/>
      <c r="CN148" s="31"/>
      <c r="CO148" s="31"/>
      <c r="CP148" s="31"/>
      <c r="CQ148" s="31"/>
      <c r="CR148" s="31"/>
      <c r="CS148" s="31"/>
      <c r="CT148" s="31"/>
      <c r="CU148" s="31"/>
      <c r="CV148" s="31"/>
      <c r="CW148" s="31"/>
      <c r="CX148" s="31"/>
      <c r="CY148" s="31"/>
      <c r="CZ148" s="31"/>
      <c r="DA148" s="31"/>
      <c r="DB148" s="31"/>
      <c r="DC148" s="31"/>
      <c r="DD148" s="31"/>
      <c r="DE148" s="31"/>
      <c r="DF148" s="31"/>
      <c r="DG148" s="31"/>
      <c r="DH148" s="31"/>
      <c r="DI148" s="31"/>
      <c r="DJ148" s="31"/>
      <c r="DK148" s="31"/>
      <c r="DL148" s="31"/>
      <c r="DM148" s="31"/>
      <c r="DN148" s="31"/>
      <c r="DO148" s="31"/>
      <c r="DP148" s="31"/>
      <c r="DQ148" s="31"/>
      <c r="DR148" s="31"/>
      <c r="DS148" s="31"/>
      <c r="DT148" s="31"/>
      <c r="DU148" s="31"/>
      <c r="DV148" s="31"/>
      <c r="DW148" s="31"/>
      <c r="DX148" s="31"/>
      <c r="DY148" s="31"/>
      <c r="DZ148" s="31"/>
      <c r="EA148" s="31"/>
      <c r="EB148" s="31"/>
      <c r="EC148" s="31"/>
      <c r="ED148" s="31"/>
      <c r="EE148" s="31"/>
      <c r="EF148" s="31"/>
      <c r="EG148" s="31"/>
      <c r="EH148" s="31"/>
      <c r="EI148" s="31"/>
      <c r="EJ148" s="31"/>
      <c r="EK148" s="31"/>
      <c r="EL148" s="31"/>
      <c r="EM148" s="31"/>
      <c r="EN148" s="31"/>
      <c r="EO148" s="31"/>
      <c r="EP148" s="31"/>
      <c r="EQ148" s="31"/>
      <c r="ER148" s="31"/>
      <c r="ES148" s="31"/>
      <c r="ET148" s="31"/>
      <c r="EU148" s="31"/>
      <c r="EV148" s="31"/>
      <c r="EW148" s="31"/>
      <c r="EX148" s="31"/>
      <c r="EY148" s="31"/>
      <c r="EZ148" s="31"/>
      <c r="FA148" s="31"/>
      <c r="FB148" s="31"/>
      <c r="FC148" s="31"/>
      <c r="FD148" s="31"/>
      <c r="FE148" s="31"/>
      <c r="FF148" s="31"/>
      <c r="FG148" s="31"/>
      <c r="FH148" s="31"/>
      <c r="FI148" s="31"/>
      <c r="FJ148" s="31"/>
      <c r="FK148" s="31"/>
      <c r="FL148" s="31"/>
      <c r="FM148" s="31"/>
      <c r="FN148" s="31"/>
      <c r="FO148" s="31"/>
      <c r="FP148" s="31"/>
      <c r="FQ148" s="31"/>
      <c r="FR148" s="31"/>
      <c r="FS148" s="31"/>
      <c r="FT148" s="31"/>
      <c r="FU148" s="31"/>
      <c r="FV148" s="31"/>
      <c r="FW148" s="31"/>
      <c r="FX148" s="31"/>
      <c r="FY148" s="31"/>
      <c r="FZ148" s="31"/>
      <c r="GA148" s="31"/>
      <c r="GB148" s="31"/>
      <c r="GC148" s="31"/>
      <c r="GD148" s="31"/>
      <c r="GE148" s="31"/>
      <c r="GF148" s="31"/>
      <c r="GG148" s="31"/>
      <c r="GH148" s="31"/>
      <c r="GI148" s="31"/>
      <c r="GJ148" s="31"/>
      <c r="GK148" s="31"/>
      <c r="GL148" s="31"/>
      <c r="GM148" s="31"/>
      <c r="GN148" s="31"/>
      <c r="GO148" s="31"/>
      <c r="GP148" s="31"/>
      <c r="GQ148" s="31"/>
      <c r="GR148" s="31"/>
      <c r="GS148" s="31"/>
      <c r="GT148" s="31"/>
      <c r="GU148" s="31"/>
      <c r="GV148" s="31"/>
      <c r="GW148" s="31"/>
      <c r="GX148" s="31"/>
      <c r="GY148" s="31"/>
      <c r="GZ148" s="31"/>
      <c r="HA148" s="31"/>
      <c r="HB148" s="31"/>
      <c r="HC148" s="31"/>
      <c r="HD148" s="31"/>
      <c r="HE148" s="31"/>
      <c r="HF148" s="31"/>
      <c r="HG148" s="31"/>
      <c r="HH148" s="31"/>
      <c r="HI148" s="31"/>
      <c r="HJ148" s="31"/>
      <c r="HK148" s="31"/>
      <c r="HL148" s="31"/>
      <c r="HM148" s="31"/>
      <c r="HN148" s="31"/>
      <c r="HO148" s="31"/>
      <c r="HP148" s="31"/>
      <c r="HQ148" s="31"/>
      <c r="HR148" s="31"/>
      <c r="HS148" s="31"/>
      <c r="HT148" s="31"/>
      <c r="HU148" s="31"/>
      <c r="HV148" s="31"/>
      <c r="HW148" s="31"/>
      <c r="HX148" s="31"/>
      <c r="HY148" s="31"/>
      <c r="HZ148" s="31"/>
    </row>
    <row r="149" spans="1:234" ht="14.25" customHeight="1" x14ac:dyDescent="0.35">
      <c r="A149" s="88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30"/>
      <c r="U149" s="27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  <c r="BS149" s="31"/>
      <c r="BT149" s="31"/>
      <c r="BU149" s="31"/>
      <c r="BV149" s="31"/>
      <c r="BW149" s="31"/>
      <c r="BX149" s="31"/>
      <c r="BY149" s="31"/>
      <c r="BZ149" s="31"/>
      <c r="CA149" s="31"/>
      <c r="CB149" s="31"/>
      <c r="CC149" s="31"/>
      <c r="CD149" s="31"/>
      <c r="CE149" s="31"/>
      <c r="CF149" s="31"/>
      <c r="CG149" s="31"/>
      <c r="CH149" s="31"/>
      <c r="CI149" s="31"/>
      <c r="CJ149" s="31"/>
      <c r="CK149" s="31"/>
      <c r="CL149" s="31"/>
      <c r="CM149" s="31"/>
      <c r="CN149" s="31"/>
      <c r="CO149" s="31"/>
      <c r="CP149" s="31"/>
      <c r="CQ149" s="31"/>
      <c r="CR149" s="31"/>
      <c r="CS149" s="31"/>
      <c r="CT149" s="31"/>
      <c r="CU149" s="31"/>
      <c r="CV149" s="31"/>
      <c r="CW149" s="31"/>
      <c r="CX149" s="31"/>
      <c r="CY149" s="31"/>
      <c r="CZ149" s="31"/>
      <c r="DA149" s="31"/>
      <c r="DB149" s="31"/>
      <c r="DC149" s="31"/>
      <c r="DD149" s="31"/>
      <c r="DE149" s="31"/>
      <c r="DF149" s="31"/>
      <c r="DG149" s="31"/>
      <c r="DH149" s="31"/>
      <c r="DI149" s="31"/>
      <c r="DJ149" s="31"/>
      <c r="DK149" s="31"/>
      <c r="DL149" s="31"/>
      <c r="DM149" s="31"/>
      <c r="DN149" s="31"/>
      <c r="DO149" s="31"/>
      <c r="DP149" s="31"/>
      <c r="DQ149" s="31"/>
      <c r="DR149" s="31"/>
      <c r="DS149" s="31"/>
      <c r="DT149" s="31"/>
      <c r="DU149" s="31"/>
      <c r="DV149" s="31"/>
      <c r="DW149" s="31"/>
      <c r="DX149" s="31"/>
      <c r="DY149" s="31"/>
      <c r="DZ149" s="31"/>
      <c r="EA149" s="31"/>
      <c r="EB149" s="31"/>
      <c r="EC149" s="31"/>
      <c r="ED149" s="31"/>
      <c r="EE149" s="31"/>
      <c r="EF149" s="31"/>
      <c r="EG149" s="31"/>
      <c r="EH149" s="31"/>
      <c r="EI149" s="31"/>
      <c r="EJ149" s="31"/>
      <c r="EK149" s="31"/>
      <c r="EL149" s="31"/>
      <c r="EM149" s="31"/>
      <c r="EN149" s="31"/>
      <c r="EO149" s="31"/>
      <c r="EP149" s="31"/>
      <c r="EQ149" s="31"/>
      <c r="ER149" s="31"/>
      <c r="ES149" s="31"/>
      <c r="ET149" s="31"/>
      <c r="EU149" s="31"/>
      <c r="EV149" s="31"/>
      <c r="EW149" s="31"/>
      <c r="EX149" s="31"/>
      <c r="EY149" s="31"/>
      <c r="EZ149" s="31"/>
      <c r="FA149" s="31"/>
      <c r="FB149" s="31"/>
      <c r="FC149" s="31"/>
      <c r="FD149" s="31"/>
      <c r="FE149" s="31"/>
      <c r="FF149" s="31"/>
      <c r="FG149" s="31"/>
      <c r="FH149" s="31"/>
      <c r="FI149" s="31"/>
      <c r="FJ149" s="31"/>
      <c r="FK149" s="31"/>
      <c r="FL149" s="31"/>
      <c r="FM149" s="31"/>
      <c r="FN149" s="31"/>
      <c r="FO149" s="31"/>
      <c r="FP149" s="31"/>
      <c r="FQ149" s="31"/>
      <c r="FR149" s="31"/>
      <c r="FS149" s="31"/>
      <c r="FT149" s="31"/>
      <c r="FU149" s="31"/>
      <c r="FV149" s="31"/>
      <c r="FW149" s="31"/>
      <c r="FX149" s="31"/>
      <c r="FY149" s="31"/>
      <c r="FZ149" s="31"/>
      <c r="GA149" s="31"/>
      <c r="GB149" s="31"/>
      <c r="GC149" s="31"/>
      <c r="GD149" s="31"/>
      <c r="GE149" s="31"/>
      <c r="GF149" s="31"/>
      <c r="GG149" s="31"/>
      <c r="GH149" s="31"/>
      <c r="GI149" s="31"/>
      <c r="GJ149" s="31"/>
      <c r="GK149" s="31"/>
      <c r="GL149" s="31"/>
      <c r="GM149" s="31"/>
      <c r="GN149" s="31"/>
      <c r="GO149" s="31"/>
      <c r="GP149" s="31"/>
      <c r="GQ149" s="31"/>
      <c r="GR149" s="31"/>
      <c r="GS149" s="31"/>
      <c r="GT149" s="31"/>
      <c r="GU149" s="31"/>
      <c r="GV149" s="31"/>
      <c r="GW149" s="31"/>
      <c r="GX149" s="31"/>
      <c r="GY149" s="31"/>
      <c r="GZ149" s="31"/>
      <c r="HA149" s="31"/>
      <c r="HB149" s="31"/>
      <c r="HC149" s="31"/>
      <c r="HD149" s="31"/>
      <c r="HE149" s="31"/>
      <c r="HF149" s="31"/>
      <c r="HG149" s="31"/>
      <c r="HH149" s="31"/>
      <c r="HI149" s="31"/>
      <c r="HJ149" s="31"/>
      <c r="HK149" s="31"/>
      <c r="HL149" s="31"/>
      <c r="HM149" s="31"/>
      <c r="HN149" s="31"/>
      <c r="HO149" s="31"/>
      <c r="HP149" s="31"/>
      <c r="HQ149" s="31"/>
      <c r="HR149" s="31"/>
      <c r="HS149" s="31"/>
      <c r="HT149" s="31"/>
      <c r="HU149" s="31"/>
      <c r="HV149" s="31"/>
      <c r="HW149" s="31"/>
      <c r="HX149" s="31"/>
      <c r="HY149" s="31"/>
      <c r="HZ149" s="31"/>
    </row>
    <row r="150" spans="1:234" ht="14.25" customHeight="1" x14ac:dyDescent="0.35">
      <c r="A150" s="88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30"/>
      <c r="U150" s="27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  <c r="BS150" s="31"/>
      <c r="BT150" s="31"/>
      <c r="BU150" s="31"/>
      <c r="BV150" s="31"/>
      <c r="BW150" s="31"/>
      <c r="BX150" s="31"/>
      <c r="BY150" s="31"/>
      <c r="BZ150" s="31"/>
      <c r="CA150" s="31"/>
      <c r="CB150" s="31"/>
      <c r="CC150" s="31"/>
      <c r="CD150" s="31"/>
      <c r="CE150" s="31"/>
      <c r="CF150" s="31"/>
      <c r="CG150" s="31"/>
      <c r="CH150" s="31"/>
      <c r="CI150" s="31"/>
      <c r="CJ150" s="31"/>
      <c r="CK150" s="31"/>
      <c r="CL150" s="31"/>
      <c r="CM150" s="31"/>
      <c r="CN150" s="31"/>
      <c r="CO150" s="31"/>
      <c r="CP150" s="31"/>
      <c r="CQ150" s="31"/>
      <c r="CR150" s="31"/>
      <c r="CS150" s="31"/>
      <c r="CT150" s="31"/>
      <c r="CU150" s="31"/>
      <c r="CV150" s="31"/>
      <c r="CW150" s="31"/>
      <c r="CX150" s="31"/>
      <c r="CY150" s="31"/>
      <c r="CZ150" s="31"/>
      <c r="DA150" s="31"/>
      <c r="DB150" s="31"/>
      <c r="DC150" s="31"/>
      <c r="DD150" s="31"/>
      <c r="DE150" s="31"/>
      <c r="DF150" s="31"/>
      <c r="DG150" s="31"/>
      <c r="DH150" s="31"/>
      <c r="DI150" s="31"/>
      <c r="DJ150" s="31"/>
      <c r="DK150" s="31"/>
      <c r="DL150" s="31"/>
      <c r="DM150" s="31"/>
      <c r="DN150" s="31"/>
      <c r="DO150" s="31"/>
      <c r="DP150" s="31"/>
      <c r="DQ150" s="31"/>
      <c r="DR150" s="31"/>
      <c r="DS150" s="31"/>
      <c r="DT150" s="31"/>
      <c r="DU150" s="31"/>
      <c r="DV150" s="31"/>
      <c r="DW150" s="31"/>
      <c r="DX150" s="31"/>
      <c r="DY150" s="31"/>
      <c r="DZ150" s="31"/>
      <c r="EA150" s="31"/>
      <c r="EB150" s="31"/>
      <c r="EC150" s="31"/>
      <c r="ED150" s="31"/>
      <c r="EE150" s="31"/>
      <c r="EF150" s="31"/>
      <c r="EG150" s="31"/>
      <c r="EH150" s="31"/>
      <c r="EI150" s="31"/>
      <c r="EJ150" s="31"/>
      <c r="EK150" s="31"/>
      <c r="EL150" s="31"/>
      <c r="EM150" s="31"/>
      <c r="EN150" s="31"/>
      <c r="EO150" s="31"/>
      <c r="EP150" s="31"/>
      <c r="EQ150" s="31"/>
      <c r="ER150" s="31"/>
      <c r="ES150" s="31"/>
      <c r="ET150" s="31"/>
      <c r="EU150" s="31"/>
      <c r="EV150" s="31"/>
      <c r="EW150" s="31"/>
      <c r="EX150" s="31"/>
      <c r="EY150" s="31"/>
      <c r="EZ150" s="31"/>
      <c r="FA150" s="31"/>
      <c r="FB150" s="31"/>
      <c r="FC150" s="31"/>
      <c r="FD150" s="31"/>
      <c r="FE150" s="31"/>
      <c r="FF150" s="31"/>
      <c r="FG150" s="31"/>
      <c r="FH150" s="31"/>
      <c r="FI150" s="31"/>
      <c r="FJ150" s="31"/>
      <c r="FK150" s="31"/>
      <c r="FL150" s="31"/>
      <c r="FM150" s="31"/>
      <c r="FN150" s="31"/>
      <c r="FO150" s="31"/>
      <c r="FP150" s="31"/>
      <c r="FQ150" s="31"/>
      <c r="FR150" s="31"/>
      <c r="FS150" s="31"/>
      <c r="FT150" s="31"/>
      <c r="FU150" s="31"/>
      <c r="FV150" s="31"/>
      <c r="FW150" s="31"/>
      <c r="FX150" s="31"/>
      <c r="FY150" s="31"/>
      <c r="FZ150" s="31"/>
      <c r="GA150" s="31"/>
      <c r="GB150" s="31"/>
      <c r="GC150" s="31"/>
      <c r="GD150" s="31"/>
      <c r="GE150" s="31"/>
      <c r="GF150" s="31"/>
      <c r="GG150" s="31"/>
      <c r="GH150" s="31"/>
      <c r="GI150" s="31"/>
      <c r="GJ150" s="31"/>
      <c r="GK150" s="31"/>
      <c r="GL150" s="31"/>
      <c r="GM150" s="31"/>
      <c r="GN150" s="31"/>
      <c r="GO150" s="31"/>
      <c r="GP150" s="31"/>
      <c r="GQ150" s="31"/>
      <c r="GR150" s="31"/>
      <c r="GS150" s="31"/>
      <c r="GT150" s="31"/>
      <c r="GU150" s="31"/>
      <c r="GV150" s="31"/>
      <c r="GW150" s="31"/>
      <c r="GX150" s="31"/>
      <c r="GY150" s="31"/>
      <c r="GZ150" s="31"/>
      <c r="HA150" s="31"/>
      <c r="HB150" s="31"/>
      <c r="HC150" s="31"/>
      <c r="HD150" s="31"/>
      <c r="HE150" s="31"/>
      <c r="HF150" s="31"/>
      <c r="HG150" s="31"/>
      <c r="HH150" s="31"/>
      <c r="HI150" s="31"/>
      <c r="HJ150" s="31"/>
      <c r="HK150" s="31"/>
      <c r="HL150" s="31"/>
      <c r="HM150" s="31"/>
      <c r="HN150" s="31"/>
      <c r="HO150" s="31"/>
      <c r="HP150" s="31"/>
      <c r="HQ150" s="31"/>
      <c r="HR150" s="31"/>
      <c r="HS150" s="31"/>
      <c r="HT150" s="31"/>
      <c r="HU150" s="31"/>
      <c r="HV150" s="31"/>
      <c r="HW150" s="31"/>
      <c r="HX150" s="31"/>
      <c r="HY150" s="31"/>
      <c r="HZ150" s="31"/>
    </row>
    <row r="151" spans="1:234" ht="14.25" customHeight="1" x14ac:dyDescent="0.35">
      <c r="A151" s="88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30"/>
      <c r="U151" s="27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  <c r="BS151" s="31"/>
      <c r="BT151" s="31"/>
      <c r="BU151" s="31"/>
      <c r="BV151" s="31"/>
      <c r="BW151" s="31"/>
      <c r="BX151" s="31"/>
      <c r="BY151" s="31"/>
      <c r="BZ151" s="31"/>
      <c r="CA151" s="31"/>
      <c r="CB151" s="31"/>
      <c r="CC151" s="31"/>
      <c r="CD151" s="31"/>
      <c r="CE151" s="31"/>
      <c r="CF151" s="31"/>
      <c r="CG151" s="31"/>
      <c r="CH151" s="31"/>
      <c r="CI151" s="31"/>
      <c r="CJ151" s="31"/>
      <c r="CK151" s="31"/>
      <c r="CL151" s="31"/>
      <c r="CM151" s="31"/>
      <c r="CN151" s="31"/>
      <c r="CO151" s="31"/>
      <c r="CP151" s="31"/>
      <c r="CQ151" s="31"/>
      <c r="CR151" s="31"/>
      <c r="CS151" s="31"/>
      <c r="CT151" s="31"/>
      <c r="CU151" s="31"/>
      <c r="CV151" s="31"/>
      <c r="CW151" s="31"/>
      <c r="CX151" s="31"/>
      <c r="CY151" s="31"/>
      <c r="CZ151" s="31"/>
      <c r="DA151" s="31"/>
      <c r="DB151" s="31"/>
      <c r="DC151" s="31"/>
      <c r="DD151" s="31"/>
      <c r="DE151" s="31"/>
      <c r="DF151" s="31"/>
      <c r="DG151" s="31"/>
      <c r="DH151" s="31"/>
      <c r="DI151" s="31"/>
      <c r="DJ151" s="31"/>
      <c r="DK151" s="31"/>
      <c r="DL151" s="31"/>
      <c r="DM151" s="31"/>
      <c r="DN151" s="31"/>
      <c r="DO151" s="31"/>
      <c r="DP151" s="31"/>
      <c r="DQ151" s="31"/>
      <c r="DR151" s="31"/>
      <c r="DS151" s="31"/>
      <c r="DT151" s="31"/>
      <c r="DU151" s="31"/>
      <c r="DV151" s="31"/>
      <c r="DW151" s="31"/>
      <c r="DX151" s="31"/>
      <c r="DY151" s="31"/>
      <c r="DZ151" s="31"/>
      <c r="EA151" s="31"/>
      <c r="EB151" s="31"/>
      <c r="EC151" s="31"/>
      <c r="ED151" s="31"/>
      <c r="EE151" s="31"/>
      <c r="EF151" s="31"/>
      <c r="EG151" s="31"/>
      <c r="EH151" s="31"/>
      <c r="EI151" s="31"/>
      <c r="EJ151" s="31"/>
      <c r="EK151" s="31"/>
      <c r="EL151" s="31"/>
      <c r="EM151" s="31"/>
      <c r="EN151" s="31"/>
      <c r="EO151" s="31"/>
      <c r="EP151" s="31"/>
      <c r="EQ151" s="31"/>
      <c r="ER151" s="31"/>
      <c r="ES151" s="31"/>
      <c r="ET151" s="31"/>
      <c r="EU151" s="31"/>
      <c r="EV151" s="31"/>
      <c r="EW151" s="31"/>
      <c r="EX151" s="31"/>
      <c r="EY151" s="31"/>
      <c r="EZ151" s="31"/>
      <c r="FA151" s="31"/>
      <c r="FB151" s="31"/>
      <c r="FC151" s="31"/>
      <c r="FD151" s="31"/>
      <c r="FE151" s="31"/>
      <c r="FF151" s="31"/>
      <c r="FG151" s="31"/>
      <c r="FH151" s="31"/>
      <c r="FI151" s="31"/>
      <c r="FJ151" s="31"/>
      <c r="FK151" s="31"/>
      <c r="FL151" s="31"/>
      <c r="FM151" s="31"/>
      <c r="FN151" s="31"/>
      <c r="FO151" s="31"/>
      <c r="FP151" s="31"/>
      <c r="FQ151" s="31"/>
      <c r="FR151" s="31"/>
      <c r="FS151" s="31"/>
      <c r="FT151" s="31"/>
      <c r="FU151" s="31"/>
      <c r="FV151" s="31"/>
      <c r="FW151" s="31"/>
      <c r="FX151" s="31"/>
      <c r="FY151" s="31"/>
      <c r="FZ151" s="31"/>
      <c r="GA151" s="31"/>
      <c r="GB151" s="31"/>
      <c r="GC151" s="31"/>
      <c r="GD151" s="31"/>
      <c r="GE151" s="31"/>
      <c r="GF151" s="31"/>
      <c r="GG151" s="31"/>
      <c r="GH151" s="31"/>
      <c r="GI151" s="31"/>
      <c r="GJ151" s="31"/>
      <c r="GK151" s="31"/>
      <c r="GL151" s="31"/>
      <c r="GM151" s="31"/>
      <c r="GN151" s="31"/>
      <c r="GO151" s="31"/>
      <c r="GP151" s="31"/>
      <c r="GQ151" s="31"/>
      <c r="GR151" s="31"/>
      <c r="GS151" s="31"/>
      <c r="GT151" s="31"/>
      <c r="GU151" s="31"/>
      <c r="GV151" s="31"/>
      <c r="GW151" s="31"/>
      <c r="GX151" s="31"/>
      <c r="GY151" s="31"/>
      <c r="GZ151" s="31"/>
      <c r="HA151" s="31"/>
      <c r="HB151" s="31"/>
      <c r="HC151" s="31"/>
      <c r="HD151" s="31"/>
      <c r="HE151" s="31"/>
      <c r="HF151" s="31"/>
      <c r="HG151" s="31"/>
      <c r="HH151" s="31"/>
      <c r="HI151" s="31"/>
      <c r="HJ151" s="31"/>
      <c r="HK151" s="31"/>
      <c r="HL151" s="31"/>
      <c r="HM151" s="31"/>
      <c r="HN151" s="31"/>
      <c r="HO151" s="31"/>
      <c r="HP151" s="31"/>
      <c r="HQ151" s="31"/>
      <c r="HR151" s="31"/>
      <c r="HS151" s="31"/>
      <c r="HT151" s="31"/>
      <c r="HU151" s="31"/>
      <c r="HV151" s="31"/>
      <c r="HW151" s="31"/>
      <c r="HX151" s="31"/>
      <c r="HY151" s="31"/>
      <c r="HZ151" s="31"/>
    </row>
    <row r="152" spans="1:234" ht="14.25" customHeight="1" x14ac:dyDescent="0.35">
      <c r="A152" s="88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30"/>
      <c r="U152" s="27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  <c r="BS152" s="31"/>
      <c r="BT152" s="31"/>
      <c r="BU152" s="31"/>
      <c r="BV152" s="31"/>
      <c r="BW152" s="31"/>
      <c r="BX152" s="31"/>
      <c r="BY152" s="31"/>
      <c r="BZ152" s="31"/>
      <c r="CA152" s="31"/>
      <c r="CB152" s="31"/>
      <c r="CC152" s="31"/>
      <c r="CD152" s="31"/>
      <c r="CE152" s="31"/>
      <c r="CF152" s="31"/>
      <c r="CG152" s="31"/>
      <c r="CH152" s="31"/>
      <c r="CI152" s="31"/>
      <c r="CJ152" s="31"/>
      <c r="CK152" s="31"/>
      <c r="CL152" s="31"/>
      <c r="CM152" s="31"/>
      <c r="CN152" s="31"/>
      <c r="CO152" s="31"/>
      <c r="CP152" s="31"/>
      <c r="CQ152" s="31"/>
      <c r="CR152" s="31"/>
      <c r="CS152" s="31"/>
      <c r="CT152" s="31"/>
      <c r="CU152" s="31"/>
      <c r="CV152" s="31"/>
      <c r="CW152" s="31"/>
      <c r="CX152" s="31"/>
      <c r="CY152" s="31"/>
      <c r="CZ152" s="31"/>
      <c r="DA152" s="31"/>
      <c r="DB152" s="31"/>
      <c r="DC152" s="31"/>
      <c r="DD152" s="31"/>
      <c r="DE152" s="31"/>
      <c r="DF152" s="31"/>
      <c r="DG152" s="31"/>
      <c r="DH152" s="31"/>
      <c r="DI152" s="31"/>
      <c r="DJ152" s="31"/>
      <c r="DK152" s="31"/>
      <c r="DL152" s="31"/>
      <c r="DM152" s="31"/>
      <c r="DN152" s="31"/>
      <c r="DO152" s="31"/>
      <c r="DP152" s="31"/>
      <c r="DQ152" s="31"/>
      <c r="DR152" s="31"/>
      <c r="DS152" s="31"/>
      <c r="DT152" s="31"/>
      <c r="DU152" s="31"/>
      <c r="DV152" s="31"/>
      <c r="DW152" s="31"/>
      <c r="DX152" s="31"/>
      <c r="DY152" s="31"/>
      <c r="DZ152" s="31"/>
      <c r="EA152" s="31"/>
      <c r="EB152" s="31"/>
      <c r="EC152" s="31"/>
      <c r="ED152" s="31"/>
      <c r="EE152" s="31"/>
      <c r="EF152" s="31"/>
      <c r="EG152" s="31"/>
      <c r="EH152" s="31"/>
      <c r="EI152" s="31"/>
      <c r="EJ152" s="31"/>
      <c r="EK152" s="31"/>
      <c r="EL152" s="31"/>
      <c r="EM152" s="31"/>
      <c r="EN152" s="31"/>
      <c r="EO152" s="31"/>
      <c r="EP152" s="31"/>
      <c r="EQ152" s="31"/>
      <c r="ER152" s="31"/>
      <c r="ES152" s="31"/>
      <c r="ET152" s="31"/>
      <c r="EU152" s="31"/>
      <c r="EV152" s="31"/>
      <c r="EW152" s="31"/>
      <c r="EX152" s="31"/>
      <c r="EY152" s="31"/>
      <c r="EZ152" s="31"/>
      <c r="FA152" s="31"/>
      <c r="FB152" s="31"/>
      <c r="FC152" s="31"/>
      <c r="FD152" s="31"/>
      <c r="FE152" s="31"/>
      <c r="FF152" s="31"/>
      <c r="FG152" s="31"/>
      <c r="FH152" s="31"/>
      <c r="FI152" s="31"/>
      <c r="FJ152" s="31"/>
      <c r="FK152" s="31"/>
      <c r="FL152" s="31"/>
      <c r="FM152" s="31"/>
      <c r="FN152" s="31"/>
      <c r="FO152" s="31"/>
      <c r="FP152" s="31"/>
      <c r="FQ152" s="31"/>
      <c r="FR152" s="31"/>
      <c r="FS152" s="31"/>
      <c r="FT152" s="31"/>
      <c r="FU152" s="31"/>
      <c r="FV152" s="31"/>
      <c r="FW152" s="31"/>
      <c r="FX152" s="31"/>
      <c r="FY152" s="31"/>
      <c r="FZ152" s="31"/>
      <c r="GA152" s="31"/>
      <c r="GB152" s="31"/>
      <c r="GC152" s="31"/>
      <c r="GD152" s="31"/>
      <c r="GE152" s="31"/>
      <c r="GF152" s="31"/>
      <c r="GG152" s="31"/>
      <c r="GH152" s="31"/>
      <c r="GI152" s="31"/>
      <c r="GJ152" s="31"/>
      <c r="GK152" s="31"/>
      <c r="GL152" s="31"/>
      <c r="GM152" s="31"/>
      <c r="GN152" s="31"/>
      <c r="GO152" s="31"/>
      <c r="GP152" s="31"/>
      <c r="GQ152" s="31"/>
      <c r="GR152" s="31"/>
      <c r="GS152" s="31"/>
      <c r="GT152" s="31"/>
      <c r="GU152" s="31"/>
      <c r="GV152" s="31"/>
      <c r="GW152" s="31"/>
      <c r="GX152" s="31"/>
      <c r="GY152" s="31"/>
      <c r="GZ152" s="31"/>
      <c r="HA152" s="31"/>
      <c r="HB152" s="31"/>
      <c r="HC152" s="31"/>
      <c r="HD152" s="31"/>
      <c r="HE152" s="31"/>
      <c r="HF152" s="31"/>
      <c r="HG152" s="31"/>
      <c r="HH152" s="31"/>
      <c r="HI152" s="31"/>
      <c r="HJ152" s="31"/>
      <c r="HK152" s="31"/>
      <c r="HL152" s="31"/>
      <c r="HM152" s="31"/>
      <c r="HN152" s="31"/>
      <c r="HO152" s="31"/>
      <c r="HP152" s="31"/>
      <c r="HQ152" s="31"/>
      <c r="HR152" s="31"/>
      <c r="HS152" s="31"/>
      <c r="HT152" s="31"/>
      <c r="HU152" s="31"/>
      <c r="HV152" s="31"/>
      <c r="HW152" s="31"/>
      <c r="HX152" s="31"/>
      <c r="HY152" s="31"/>
      <c r="HZ152" s="31"/>
    </row>
    <row r="153" spans="1:234" ht="14.25" customHeight="1" x14ac:dyDescent="0.35">
      <c r="A153" s="88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30"/>
      <c r="U153" s="27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  <c r="BS153" s="31"/>
      <c r="BT153" s="31"/>
      <c r="BU153" s="31"/>
      <c r="BV153" s="31"/>
      <c r="BW153" s="31"/>
      <c r="BX153" s="31"/>
      <c r="BY153" s="31"/>
      <c r="BZ153" s="31"/>
      <c r="CA153" s="31"/>
      <c r="CB153" s="31"/>
      <c r="CC153" s="31"/>
      <c r="CD153" s="31"/>
      <c r="CE153" s="31"/>
      <c r="CF153" s="31"/>
      <c r="CG153" s="31"/>
      <c r="CH153" s="31"/>
      <c r="CI153" s="31"/>
      <c r="CJ153" s="31"/>
      <c r="CK153" s="31"/>
      <c r="CL153" s="31"/>
      <c r="CM153" s="31"/>
      <c r="CN153" s="31"/>
      <c r="CO153" s="31"/>
      <c r="CP153" s="31"/>
      <c r="CQ153" s="31"/>
      <c r="CR153" s="31"/>
      <c r="CS153" s="31"/>
      <c r="CT153" s="31"/>
      <c r="CU153" s="31"/>
      <c r="CV153" s="31"/>
      <c r="CW153" s="31"/>
      <c r="CX153" s="31"/>
      <c r="CY153" s="31"/>
      <c r="CZ153" s="31"/>
      <c r="DA153" s="31"/>
      <c r="DB153" s="31"/>
      <c r="DC153" s="31"/>
      <c r="DD153" s="31"/>
      <c r="DE153" s="31"/>
      <c r="DF153" s="31"/>
      <c r="DG153" s="31"/>
      <c r="DH153" s="31"/>
      <c r="DI153" s="31"/>
      <c r="DJ153" s="31"/>
      <c r="DK153" s="31"/>
      <c r="DL153" s="31"/>
      <c r="DM153" s="31"/>
      <c r="DN153" s="31"/>
      <c r="DO153" s="31"/>
      <c r="DP153" s="31"/>
      <c r="DQ153" s="31"/>
      <c r="DR153" s="31"/>
      <c r="DS153" s="31"/>
      <c r="DT153" s="31"/>
      <c r="DU153" s="31"/>
      <c r="DV153" s="31"/>
      <c r="DW153" s="31"/>
      <c r="DX153" s="31"/>
      <c r="DY153" s="31"/>
      <c r="DZ153" s="31"/>
      <c r="EA153" s="31"/>
      <c r="EB153" s="31"/>
      <c r="EC153" s="31"/>
      <c r="ED153" s="31"/>
      <c r="EE153" s="31"/>
      <c r="EF153" s="31"/>
      <c r="EG153" s="31"/>
      <c r="EH153" s="31"/>
      <c r="EI153" s="31"/>
      <c r="EJ153" s="31"/>
      <c r="EK153" s="31"/>
      <c r="EL153" s="31"/>
      <c r="EM153" s="31"/>
      <c r="EN153" s="31"/>
      <c r="EO153" s="31"/>
      <c r="EP153" s="31"/>
      <c r="EQ153" s="31"/>
      <c r="ER153" s="31"/>
      <c r="ES153" s="31"/>
      <c r="ET153" s="31"/>
      <c r="EU153" s="31"/>
      <c r="EV153" s="31"/>
      <c r="EW153" s="31"/>
      <c r="EX153" s="31"/>
      <c r="EY153" s="31"/>
      <c r="EZ153" s="31"/>
      <c r="FA153" s="31"/>
      <c r="FB153" s="31"/>
      <c r="FC153" s="31"/>
      <c r="FD153" s="31"/>
      <c r="FE153" s="31"/>
      <c r="FF153" s="31"/>
      <c r="FG153" s="31"/>
      <c r="FH153" s="31"/>
      <c r="FI153" s="31"/>
      <c r="FJ153" s="31"/>
      <c r="FK153" s="31"/>
      <c r="FL153" s="31"/>
      <c r="FM153" s="31"/>
      <c r="FN153" s="31"/>
      <c r="FO153" s="31"/>
      <c r="FP153" s="31"/>
      <c r="FQ153" s="31"/>
      <c r="FR153" s="31"/>
      <c r="FS153" s="31"/>
      <c r="FT153" s="31"/>
      <c r="FU153" s="31"/>
      <c r="FV153" s="31"/>
      <c r="FW153" s="31"/>
      <c r="FX153" s="31"/>
      <c r="FY153" s="31"/>
      <c r="FZ153" s="31"/>
      <c r="GA153" s="31"/>
      <c r="GB153" s="31"/>
      <c r="GC153" s="31"/>
      <c r="GD153" s="31"/>
      <c r="GE153" s="31"/>
      <c r="GF153" s="31"/>
      <c r="GG153" s="31"/>
      <c r="GH153" s="31"/>
      <c r="GI153" s="31"/>
      <c r="GJ153" s="31"/>
      <c r="GK153" s="31"/>
      <c r="GL153" s="31"/>
      <c r="GM153" s="31"/>
      <c r="GN153" s="31"/>
      <c r="GO153" s="31"/>
      <c r="GP153" s="31"/>
      <c r="GQ153" s="31"/>
      <c r="GR153" s="31"/>
      <c r="GS153" s="31"/>
      <c r="GT153" s="31"/>
      <c r="GU153" s="31"/>
      <c r="GV153" s="31"/>
      <c r="GW153" s="31"/>
      <c r="GX153" s="31"/>
      <c r="GY153" s="31"/>
      <c r="GZ153" s="31"/>
      <c r="HA153" s="31"/>
      <c r="HB153" s="31"/>
      <c r="HC153" s="31"/>
      <c r="HD153" s="31"/>
      <c r="HE153" s="31"/>
      <c r="HF153" s="31"/>
      <c r="HG153" s="31"/>
      <c r="HH153" s="31"/>
      <c r="HI153" s="31"/>
      <c r="HJ153" s="31"/>
      <c r="HK153" s="31"/>
      <c r="HL153" s="31"/>
      <c r="HM153" s="31"/>
      <c r="HN153" s="31"/>
      <c r="HO153" s="31"/>
      <c r="HP153" s="31"/>
      <c r="HQ153" s="31"/>
      <c r="HR153" s="31"/>
      <c r="HS153" s="31"/>
      <c r="HT153" s="31"/>
      <c r="HU153" s="31"/>
      <c r="HV153" s="31"/>
      <c r="HW153" s="31"/>
      <c r="HX153" s="31"/>
      <c r="HY153" s="31"/>
      <c r="HZ153" s="31"/>
    </row>
    <row r="154" spans="1:234" ht="14.25" customHeight="1" x14ac:dyDescent="0.35">
      <c r="A154" s="88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30"/>
      <c r="U154" s="27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  <c r="BS154" s="31"/>
      <c r="BT154" s="31"/>
      <c r="BU154" s="31"/>
      <c r="BV154" s="31"/>
      <c r="BW154" s="31"/>
      <c r="BX154" s="31"/>
      <c r="BY154" s="31"/>
      <c r="BZ154" s="31"/>
      <c r="CA154" s="31"/>
      <c r="CB154" s="31"/>
      <c r="CC154" s="31"/>
      <c r="CD154" s="31"/>
      <c r="CE154" s="31"/>
      <c r="CF154" s="31"/>
      <c r="CG154" s="31"/>
      <c r="CH154" s="31"/>
      <c r="CI154" s="31"/>
      <c r="CJ154" s="31"/>
      <c r="CK154" s="31"/>
      <c r="CL154" s="31"/>
      <c r="CM154" s="31"/>
      <c r="CN154" s="31"/>
      <c r="CO154" s="31"/>
      <c r="CP154" s="31"/>
      <c r="CQ154" s="31"/>
      <c r="CR154" s="31"/>
      <c r="CS154" s="31"/>
      <c r="CT154" s="31"/>
      <c r="CU154" s="31"/>
      <c r="CV154" s="31"/>
      <c r="CW154" s="31"/>
      <c r="CX154" s="31"/>
      <c r="CY154" s="31"/>
      <c r="CZ154" s="31"/>
      <c r="DA154" s="31"/>
      <c r="DB154" s="31"/>
      <c r="DC154" s="31"/>
      <c r="DD154" s="31"/>
      <c r="DE154" s="31"/>
      <c r="DF154" s="31"/>
      <c r="DG154" s="31"/>
      <c r="DH154" s="31"/>
      <c r="DI154" s="31"/>
      <c r="DJ154" s="31"/>
      <c r="DK154" s="31"/>
      <c r="DL154" s="31"/>
      <c r="DM154" s="31"/>
      <c r="DN154" s="31"/>
      <c r="DO154" s="31"/>
      <c r="DP154" s="31"/>
      <c r="DQ154" s="31"/>
      <c r="DR154" s="31"/>
      <c r="DS154" s="31"/>
      <c r="DT154" s="31"/>
      <c r="DU154" s="31"/>
      <c r="DV154" s="31"/>
      <c r="DW154" s="31"/>
      <c r="DX154" s="31"/>
      <c r="DY154" s="31"/>
      <c r="DZ154" s="31"/>
      <c r="EA154" s="31"/>
      <c r="EB154" s="31"/>
      <c r="EC154" s="31"/>
      <c r="ED154" s="31"/>
      <c r="EE154" s="31"/>
      <c r="EF154" s="31"/>
      <c r="EG154" s="31"/>
      <c r="EH154" s="31"/>
      <c r="EI154" s="31"/>
      <c r="EJ154" s="31"/>
      <c r="EK154" s="31"/>
      <c r="EL154" s="31"/>
      <c r="EM154" s="31"/>
      <c r="EN154" s="31"/>
      <c r="EO154" s="31"/>
      <c r="EP154" s="31"/>
      <c r="EQ154" s="31"/>
      <c r="ER154" s="31"/>
      <c r="ES154" s="31"/>
      <c r="ET154" s="31"/>
      <c r="EU154" s="31"/>
      <c r="EV154" s="31"/>
      <c r="EW154" s="31"/>
      <c r="EX154" s="31"/>
      <c r="EY154" s="31"/>
      <c r="EZ154" s="31"/>
      <c r="FA154" s="31"/>
      <c r="FB154" s="31"/>
      <c r="FC154" s="31"/>
      <c r="FD154" s="31"/>
      <c r="FE154" s="31"/>
      <c r="FF154" s="31"/>
      <c r="FG154" s="31"/>
      <c r="FH154" s="31"/>
      <c r="FI154" s="31"/>
      <c r="FJ154" s="31"/>
      <c r="FK154" s="31"/>
      <c r="FL154" s="31"/>
      <c r="FM154" s="31"/>
      <c r="FN154" s="31"/>
      <c r="FO154" s="31"/>
      <c r="FP154" s="31"/>
      <c r="FQ154" s="31"/>
      <c r="FR154" s="31"/>
      <c r="FS154" s="31"/>
      <c r="FT154" s="31"/>
      <c r="FU154" s="31"/>
      <c r="FV154" s="31"/>
      <c r="FW154" s="31"/>
      <c r="FX154" s="31"/>
      <c r="FY154" s="31"/>
      <c r="FZ154" s="31"/>
      <c r="GA154" s="31"/>
      <c r="GB154" s="31"/>
      <c r="GC154" s="31"/>
      <c r="GD154" s="31"/>
      <c r="GE154" s="31"/>
      <c r="GF154" s="31"/>
      <c r="GG154" s="31"/>
      <c r="GH154" s="31"/>
      <c r="GI154" s="31"/>
      <c r="GJ154" s="31"/>
      <c r="GK154" s="31"/>
      <c r="GL154" s="31"/>
      <c r="GM154" s="31"/>
      <c r="GN154" s="31"/>
      <c r="GO154" s="31"/>
      <c r="GP154" s="31"/>
      <c r="GQ154" s="31"/>
      <c r="GR154" s="31"/>
      <c r="GS154" s="31"/>
      <c r="GT154" s="31"/>
      <c r="GU154" s="31"/>
      <c r="GV154" s="31"/>
      <c r="GW154" s="31"/>
      <c r="GX154" s="31"/>
      <c r="GY154" s="31"/>
      <c r="GZ154" s="31"/>
      <c r="HA154" s="31"/>
      <c r="HB154" s="31"/>
      <c r="HC154" s="31"/>
      <c r="HD154" s="31"/>
      <c r="HE154" s="31"/>
      <c r="HF154" s="31"/>
      <c r="HG154" s="31"/>
      <c r="HH154" s="31"/>
      <c r="HI154" s="31"/>
      <c r="HJ154" s="31"/>
      <c r="HK154" s="31"/>
      <c r="HL154" s="31"/>
      <c r="HM154" s="31"/>
      <c r="HN154" s="31"/>
      <c r="HO154" s="31"/>
      <c r="HP154" s="31"/>
      <c r="HQ154" s="31"/>
      <c r="HR154" s="31"/>
      <c r="HS154" s="31"/>
      <c r="HT154" s="31"/>
      <c r="HU154" s="31"/>
      <c r="HV154" s="31"/>
      <c r="HW154" s="31"/>
      <c r="HX154" s="31"/>
      <c r="HY154" s="31"/>
      <c r="HZ154" s="31"/>
    </row>
    <row r="155" spans="1:234" ht="14.25" customHeight="1" x14ac:dyDescent="0.35">
      <c r="A155" s="88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30"/>
      <c r="U155" s="27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  <c r="BS155" s="31"/>
      <c r="BT155" s="31"/>
      <c r="BU155" s="31"/>
      <c r="BV155" s="31"/>
      <c r="BW155" s="31"/>
      <c r="BX155" s="31"/>
      <c r="BY155" s="31"/>
      <c r="BZ155" s="31"/>
      <c r="CA155" s="31"/>
      <c r="CB155" s="31"/>
      <c r="CC155" s="31"/>
      <c r="CD155" s="31"/>
      <c r="CE155" s="31"/>
      <c r="CF155" s="31"/>
      <c r="CG155" s="31"/>
      <c r="CH155" s="31"/>
      <c r="CI155" s="31"/>
      <c r="CJ155" s="31"/>
      <c r="CK155" s="31"/>
      <c r="CL155" s="31"/>
      <c r="CM155" s="31"/>
      <c r="CN155" s="31"/>
      <c r="CO155" s="31"/>
      <c r="CP155" s="31"/>
      <c r="CQ155" s="31"/>
      <c r="CR155" s="31"/>
      <c r="CS155" s="31"/>
      <c r="CT155" s="31"/>
      <c r="CU155" s="31"/>
      <c r="CV155" s="31"/>
      <c r="CW155" s="31"/>
      <c r="CX155" s="31"/>
      <c r="CY155" s="31"/>
      <c r="CZ155" s="31"/>
      <c r="DA155" s="31"/>
      <c r="DB155" s="31"/>
      <c r="DC155" s="31"/>
      <c r="DD155" s="31"/>
      <c r="DE155" s="31"/>
      <c r="DF155" s="31"/>
      <c r="DG155" s="31"/>
      <c r="DH155" s="31"/>
      <c r="DI155" s="31"/>
      <c r="DJ155" s="31"/>
      <c r="DK155" s="31"/>
      <c r="DL155" s="31"/>
      <c r="DM155" s="31"/>
      <c r="DN155" s="31"/>
      <c r="DO155" s="31"/>
      <c r="DP155" s="31"/>
      <c r="DQ155" s="31"/>
      <c r="DR155" s="31"/>
      <c r="DS155" s="31"/>
      <c r="DT155" s="31"/>
      <c r="DU155" s="31"/>
      <c r="DV155" s="31"/>
      <c r="DW155" s="31"/>
      <c r="DX155" s="31"/>
      <c r="DY155" s="31"/>
      <c r="DZ155" s="31"/>
      <c r="EA155" s="31"/>
      <c r="EB155" s="31"/>
      <c r="EC155" s="31"/>
      <c r="ED155" s="31"/>
      <c r="EE155" s="31"/>
      <c r="EF155" s="31"/>
      <c r="EG155" s="31"/>
      <c r="EH155" s="31"/>
      <c r="EI155" s="31"/>
      <c r="EJ155" s="31"/>
      <c r="EK155" s="31"/>
      <c r="EL155" s="31"/>
      <c r="EM155" s="31"/>
      <c r="EN155" s="31"/>
      <c r="EO155" s="31"/>
      <c r="EP155" s="31"/>
      <c r="EQ155" s="31"/>
      <c r="ER155" s="31"/>
      <c r="ES155" s="31"/>
      <c r="ET155" s="31"/>
      <c r="EU155" s="31"/>
      <c r="EV155" s="31"/>
      <c r="EW155" s="31"/>
      <c r="EX155" s="31"/>
      <c r="EY155" s="31"/>
      <c r="EZ155" s="31"/>
      <c r="FA155" s="31"/>
      <c r="FB155" s="31"/>
      <c r="FC155" s="31"/>
      <c r="FD155" s="31"/>
      <c r="FE155" s="31"/>
      <c r="FF155" s="31"/>
      <c r="FG155" s="31"/>
      <c r="FH155" s="31"/>
      <c r="FI155" s="31"/>
      <c r="FJ155" s="31"/>
      <c r="FK155" s="31"/>
      <c r="FL155" s="31"/>
      <c r="FM155" s="31"/>
      <c r="FN155" s="31"/>
      <c r="FO155" s="31"/>
      <c r="FP155" s="31"/>
      <c r="FQ155" s="31"/>
      <c r="FR155" s="31"/>
      <c r="FS155" s="31"/>
      <c r="FT155" s="31"/>
      <c r="FU155" s="31"/>
      <c r="FV155" s="31"/>
      <c r="FW155" s="31"/>
      <c r="FX155" s="31"/>
      <c r="FY155" s="31"/>
      <c r="FZ155" s="31"/>
      <c r="GA155" s="31"/>
      <c r="GB155" s="31"/>
      <c r="GC155" s="31"/>
      <c r="GD155" s="31"/>
      <c r="GE155" s="31"/>
      <c r="GF155" s="31"/>
      <c r="GG155" s="31"/>
      <c r="GH155" s="31"/>
      <c r="GI155" s="31"/>
      <c r="GJ155" s="31"/>
      <c r="GK155" s="31"/>
      <c r="GL155" s="31"/>
      <c r="GM155" s="31"/>
      <c r="GN155" s="31"/>
      <c r="GO155" s="31"/>
      <c r="GP155" s="31"/>
      <c r="GQ155" s="31"/>
      <c r="GR155" s="31"/>
      <c r="GS155" s="31"/>
      <c r="GT155" s="31"/>
      <c r="GU155" s="31"/>
      <c r="GV155" s="31"/>
      <c r="GW155" s="31"/>
      <c r="GX155" s="31"/>
      <c r="GY155" s="31"/>
      <c r="GZ155" s="31"/>
      <c r="HA155" s="31"/>
      <c r="HB155" s="31"/>
      <c r="HC155" s="31"/>
      <c r="HD155" s="31"/>
      <c r="HE155" s="31"/>
      <c r="HF155" s="31"/>
      <c r="HG155" s="31"/>
      <c r="HH155" s="31"/>
      <c r="HI155" s="31"/>
      <c r="HJ155" s="31"/>
      <c r="HK155" s="31"/>
      <c r="HL155" s="31"/>
      <c r="HM155" s="31"/>
      <c r="HN155" s="31"/>
      <c r="HO155" s="31"/>
      <c r="HP155" s="31"/>
      <c r="HQ155" s="31"/>
      <c r="HR155" s="31"/>
      <c r="HS155" s="31"/>
      <c r="HT155" s="31"/>
      <c r="HU155" s="31"/>
      <c r="HV155" s="31"/>
      <c r="HW155" s="31"/>
      <c r="HX155" s="31"/>
      <c r="HY155" s="31"/>
      <c r="HZ155" s="31"/>
    </row>
    <row r="156" spans="1:234" ht="14.25" customHeight="1" x14ac:dyDescent="0.35">
      <c r="A156" s="88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30"/>
      <c r="U156" s="27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  <c r="BS156" s="31"/>
      <c r="BT156" s="31"/>
      <c r="BU156" s="31"/>
      <c r="BV156" s="31"/>
      <c r="BW156" s="31"/>
      <c r="BX156" s="31"/>
      <c r="BY156" s="31"/>
      <c r="BZ156" s="31"/>
      <c r="CA156" s="31"/>
      <c r="CB156" s="31"/>
      <c r="CC156" s="31"/>
      <c r="CD156" s="31"/>
      <c r="CE156" s="31"/>
      <c r="CF156" s="31"/>
      <c r="CG156" s="31"/>
      <c r="CH156" s="31"/>
      <c r="CI156" s="31"/>
      <c r="CJ156" s="31"/>
      <c r="CK156" s="31"/>
      <c r="CL156" s="31"/>
      <c r="CM156" s="31"/>
      <c r="CN156" s="31"/>
      <c r="CO156" s="31"/>
      <c r="CP156" s="31"/>
      <c r="CQ156" s="31"/>
      <c r="CR156" s="31"/>
      <c r="CS156" s="31"/>
      <c r="CT156" s="31"/>
      <c r="CU156" s="31"/>
      <c r="CV156" s="31"/>
      <c r="CW156" s="31"/>
      <c r="CX156" s="31"/>
      <c r="CY156" s="31"/>
      <c r="CZ156" s="31"/>
      <c r="DA156" s="31"/>
      <c r="DB156" s="31"/>
      <c r="DC156" s="31"/>
      <c r="DD156" s="31"/>
      <c r="DE156" s="31"/>
      <c r="DF156" s="31"/>
      <c r="DG156" s="31"/>
      <c r="DH156" s="31"/>
      <c r="DI156" s="31"/>
      <c r="DJ156" s="31"/>
      <c r="DK156" s="31"/>
      <c r="DL156" s="31"/>
      <c r="DM156" s="31"/>
      <c r="DN156" s="31"/>
      <c r="DO156" s="31"/>
      <c r="DP156" s="31"/>
      <c r="DQ156" s="31"/>
      <c r="DR156" s="31"/>
      <c r="DS156" s="31"/>
      <c r="DT156" s="31"/>
      <c r="DU156" s="31"/>
      <c r="DV156" s="31"/>
      <c r="DW156" s="31"/>
      <c r="DX156" s="31"/>
      <c r="DY156" s="31"/>
      <c r="DZ156" s="31"/>
      <c r="EA156" s="31"/>
      <c r="EB156" s="31"/>
      <c r="EC156" s="31"/>
      <c r="ED156" s="31"/>
      <c r="EE156" s="31"/>
      <c r="EF156" s="31"/>
      <c r="EG156" s="31"/>
      <c r="EH156" s="31"/>
      <c r="EI156" s="31"/>
      <c r="EJ156" s="31"/>
      <c r="EK156" s="31"/>
      <c r="EL156" s="31"/>
      <c r="EM156" s="31"/>
      <c r="EN156" s="31"/>
      <c r="EO156" s="31"/>
      <c r="EP156" s="31"/>
      <c r="EQ156" s="31"/>
      <c r="ER156" s="31"/>
      <c r="ES156" s="31"/>
      <c r="ET156" s="31"/>
      <c r="EU156" s="31"/>
      <c r="EV156" s="31"/>
      <c r="EW156" s="31"/>
      <c r="EX156" s="31"/>
      <c r="EY156" s="31"/>
      <c r="EZ156" s="31"/>
      <c r="FA156" s="31"/>
      <c r="FB156" s="31"/>
      <c r="FC156" s="31"/>
      <c r="FD156" s="31"/>
      <c r="FE156" s="31"/>
      <c r="FF156" s="31"/>
      <c r="FG156" s="31"/>
      <c r="FH156" s="31"/>
      <c r="FI156" s="31"/>
      <c r="FJ156" s="31"/>
      <c r="FK156" s="31"/>
      <c r="FL156" s="31"/>
      <c r="FM156" s="31"/>
      <c r="FN156" s="31"/>
      <c r="FO156" s="31"/>
      <c r="FP156" s="31"/>
      <c r="FQ156" s="31"/>
      <c r="FR156" s="31"/>
      <c r="FS156" s="31"/>
      <c r="FT156" s="31"/>
      <c r="FU156" s="31"/>
      <c r="FV156" s="31"/>
      <c r="FW156" s="31"/>
      <c r="FX156" s="31"/>
      <c r="FY156" s="31"/>
      <c r="FZ156" s="31"/>
      <c r="GA156" s="31"/>
      <c r="GB156" s="31"/>
      <c r="GC156" s="31"/>
      <c r="GD156" s="31"/>
      <c r="GE156" s="31"/>
      <c r="GF156" s="31"/>
      <c r="GG156" s="31"/>
      <c r="GH156" s="31"/>
      <c r="GI156" s="31"/>
      <c r="GJ156" s="31"/>
      <c r="GK156" s="31"/>
      <c r="GL156" s="31"/>
      <c r="GM156" s="31"/>
      <c r="GN156" s="31"/>
      <c r="GO156" s="31"/>
      <c r="GP156" s="31"/>
      <c r="GQ156" s="31"/>
      <c r="GR156" s="31"/>
      <c r="GS156" s="31"/>
      <c r="GT156" s="31"/>
      <c r="GU156" s="31"/>
      <c r="GV156" s="31"/>
      <c r="GW156" s="31"/>
      <c r="GX156" s="31"/>
      <c r="GY156" s="31"/>
      <c r="GZ156" s="31"/>
      <c r="HA156" s="31"/>
      <c r="HB156" s="31"/>
      <c r="HC156" s="31"/>
      <c r="HD156" s="31"/>
      <c r="HE156" s="31"/>
      <c r="HF156" s="31"/>
      <c r="HG156" s="31"/>
      <c r="HH156" s="31"/>
      <c r="HI156" s="31"/>
      <c r="HJ156" s="31"/>
      <c r="HK156" s="31"/>
      <c r="HL156" s="31"/>
      <c r="HM156" s="31"/>
      <c r="HN156" s="31"/>
      <c r="HO156" s="31"/>
      <c r="HP156" s="31"/>
      <c r="HQ156" s="31"/>
      <c r="HR156" s="31"/>
      <c r="HS156" s="31"/>
      <c r="HT156" s="31"/>
      <c r="HU156" s="31"/>
      <c r="HV156" s="31"/>
      <c r="HW156" s="31"/>
      <c r="HX156" s="31"/>
      <c r="HY156" s="31"/>
      <c r="HZ156" s="31"/>
    </row>
    <row r="157" spans="1:234" ht="14.25" customHeight="1" x14ac:dyDescent="0.35">
      <c r="A157" s="88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30"/>
      <c r="U157" s="27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  <c r="BS157" s="31"/>
      <c r="BT157" s="31"/>
      <c r="BU157" s="31"/>
      <c r="BV157" s="31"/>
      <c r="BW157" s="31"/>
      <c r="BX157" s="31"/>
      <c r="BY157" s="31"/>
      <c r="BZ157" s="31"/>
      <c r="CA157" s="31"/>
      <c r="CB157" s="31"/>
      <c r="CC157" s="31"/>
      <c r="CD157" s="31"/>
      <c r="CE157" s="31"/>
      <c r="CF157" s="31"/>
      <c r="CG157" s="31"/>
      <c r="CH157" s="31"/>
      <c r="CI157" s="31"/>
      <c r="CJ157" s="31"/>
      <c r="CK157" s="31"/>
      <c r="CL157" s="31"/>
      <c r="CM157" s="31"/>
      <c r="CN157" s="31"/>
      <c r="CO157" s="31"/>
      <c r="CP157" s="31"/>
      <c r="CQ157" s="31"/>
      <c r="CR157" s="31"/>
      <c r="CS157" s="31"/>
      <c r="CT157" s="31"/>
      <c r="CU157" s="31"/>
      <c r="CV157" s="31"/>
      <c r="CW157" s="31"/>
      <c r="CX157" s="31"/>
      <c r="CY157" s="31"/>
      <c r="CZ157" s="31"/>
      <c r="DA157" s="31"/>
      <c r="DB157" s="31"/>
      <c r="DC157" s="31"/>
      <c r="DD157" s="31"/>
      <c r="DE157" s="31"/>
      <c r="DF157" s="31"/>
      <c r="DG157" s="31"/>
      <c r="DH157" s="31"/>
      <c r="DI157" s="31"/>
      <c r="DJ157" s="31"/>
      <c r="DK157" s="31"/>
      <c r="DL157" s="31"/>
      <c r="DM157" s="31"/>
      <c r="DN157" s="31"/>
      <c r="DO157" s="31"/>
      <c r="DP157" s="31"/>
      <c r="DQ157" s="31"/>
      <c r="DR157" s="31"/>
      <c r="DS157" s="31"/>
      <c r="DT157" s="31"/>
      <c r="DU157" s="31"/>
      <c r="DV157" s="31"/>
      <c r="DW157" s="31"/>
      <c r="DX157" s="31"/>
      <c r="DY157" s="31"/>
      <c r="DZ157" s="31"/>
      <c r="EA157" s="31"/>
      <c r="EB157" s="31"/>
      <c r="EC157" s="31"/>
      <c r="ED157" s="31"/>
      <c r="EE157" s="31"/>
      <c r="EF157" s="31"/>
      <c r="EG157" s="31"/>
      <c r="EH157" s="31"/>
      <c r="EI157" s="31"/>
      <c r="EJ157" s="31"/>
      <c r="EK157" s="31"/>
      <c r="EL157" s="31"/>
      <c r="EM157" s="31"/>
      <c r="EN157" s="31"/>
      <c r="EO157" s="31"/>
      <c r="EP157" s="31"/>
      <c r="EQ157" s="31"/>
      <c r="ER157" s="31"/>
      <c r="ES157" s="31"/>
      <c r="ET157" s="31"/>
      <c r="EU157" s="31"/>
      <c r="EV157" s="31"/>
      <c r="EW157" s="31"/>
      <c r="EX157" s="31"/>
      <c r="EY157" s="31"/>
      <c r="EZ157" s="31"/>
      <c r="FA157" s="31"/>
      <c r="FB157" s="31"/>
      <c r="FC157" s="31"/>
      <c r="FD157" s="31"/>
      <c r="FE157" s="31"/>
      <c r="FF157" s="31"/>
      <c r="FG157" s="31"/>
      <c r="FH157" s="31"/>
      <c r="FI157" s="31"/>
      <c r="FJ157" s="31"/>
      <c r="FK157" s="31"/>
      <c r="FL157" s="31"/>
      <c r="FM157" s="31"/>
      <c r="FN157" s="31"/>
      <c r="FO157" s="31"/>
      <c r="FP157" s="31"/>
      <c r="FQ157" s="31"/>
      <c r="FR157" s="31"/>
      <c r="FS157" s="31"/>
      <c r="FT157" s="31"/>
      <c r="FU157" s="31"/>
      <c r="FV157" s="31"/>
      <c r="FW157" s="31"/>
      <c r="FX157" s="31"/>
      <c r="FY157" s="31"/>
      <c r="FZ157" s="31"/>
      <c r="GA157" s="31"/>
      <c r="GB157" s="31"/>
      <c r="GC157" s="31"/>
      <c r="GD157" s="31"/>
      <c r="GE157" s="31"/>
      <c r="GF157" s="31"/>
      <c r="GG157" s="31"/>
      <c r="GH157" s="31"/>
      <c r="GI157" s="31"/>
      <c r="GJ157" s="31"/>
      <c r="GK157" s="31"/>
      <c r="GL157" s="31"/>
      <c r="GM157" s="31"/>
      <c r="GN157" s="31"/>
      <c r="GO157" s="31"/>
      <c r="GP157" s="31"/>
      <c r="GQ157" s="31"/>
      <c r="GR157" s="31"/>
      <c r="GS157" s="31"/>
      <c r="GT157" s="31"/>
      <c r="GU157" s="31"/>
      <c r="GV157" s="31"/>
      <c r="GW157" s="31"/>
      <c r="GX157" s="31"/>
      <c r="GY157" s="31"/>
      <c r="GZ157" s="31"/>
      <c r="HA157" s="31"/>
      <c r="HB157" s="31"/>
      <c r="HC157" s="31"/>
      <c r="HD157" s="31"/>
      <c r="HE157" s="31"/>
      <c r="HF157" s="31"/>
      <c r="HG157" s="31"/>
      <c r="HH157" s="31"/>
      <c r="HI157" s="31"/>
      <c r="HJ157" s="31"/>
      <c r="HK157" s="31"/>
      <c r="HL157" s="31"/>
      <c r="HM157" s="31"/>
      <c r="HN157" s="31"/>
      <c r="HO157" s="31"/>
      <c r="HP157" s="31"/>
      <c r="HQ157" s="31"/>
      <c r="HR157" s="31"/>
      <c r="HS157" s="31"/>
      <c r="HT157" s="31"/>
      <c r="HU157" s="31"/>
      <c r="HV157" s="31"/>
      <c r="HW157" s="31"/>
      <c r="HX157" s="31"/>
      <c r="HY157" s="31"/>
      <c r="HZ157" s="31"/>
    </row>
    <row r="158" spans="1:234" ht="14.25" customHeight="1" x14ac:dyDescent="0.35">
      <c r="A158" s="88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30"/>
      <c r="U158" s="27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  <c r="BS158" s="31"/>
      <c r="BT158" s="31"/>
      <c r="BU158" s="31"/>
      <c r="BV158" s="31"/>
      <c r="BW158" s="31"/>
      <c r="BX158" s="31"/>
      <c r="BY158" s="31"/>
      <c r="BZ158" s="31"/>
      <c r="CA158" s="31"/>
      <c r="CB158" s="31"/>
      <c r="CC158" s="31"/>
      <c r="CD158" s="31"/>
      <c r="CE158" s="31"/>
      <c r="CF158" s="31"/>
      <c r="CG158" s="31"/>
      <c r="CH158" s="31"/>
      <c r="CI158" s="31"/>
      <c r="CJ158" s="31"/>
      <c r="CK158" s="31"/>
      <c r="CL158" s="31"/>
      <c r="CM158" s="31"/>
      <c r="CN158" s="31"/>
      <c r="CO158" s="31"/>
      <c r="CP158" s="31"/>
      <c r="CQ158" s="31"/>
      <c r="CR158" s="31"/>
      <c r="CS158" s="31"/>
      <c r="CT158" s="31"/>
      <c r="CU158" s="31"/>
      <c r="CV158" s="31"/>
      <c r="CW158" s="31"/>
      <c r="CX158" s="31"/>
      <c r="CY158" s="31"/>
      <c r="CZ158" s="31"/>
      <c r="DA158" s="31"/>
      <c r="DB158" s="31"/>
      <c r="DC158" s="31"/>
      <c r="DD158" s="31"/>
      <c r="DE158" s="31"/>
      <c r="DF158" s="31"/>
      <c r="DG158" s="31"/>
      <c r="DH158" s="31"/>
      <c r="DI158" s="31"/>
      <c r="DJ158" s="31"/>
      <c r="DK158" s="31"/>
      <c r="DL158" s="31"/>
      <c r="DM158" s="31"/>
      <c r="DN158" s="31"/>
      <c r="DO158" s="31"/>
      <c r="DP158" s="31"/>
      <c r="DQ158" s="31"/>
      <c r="DR158" s="31"/>
      <c r="DS158" s="31"/>
      <c r="DT158" s="31"/>
      <c r="DU158" s="31"/>
      <c r="DV158" s="31"/>
      <c r="DW158" s="31"/>
      <c r="DX158" s="31"/>
      <c r="DY158" s="31"/>
      <c r="DZ158" s="31"/>
      <c r="EA158" s="31"/>
      <c r="EB158" s="31"/>
      <c r="EC158" s="31"/>
      <c r="ED158" s="31"/>
      <c r="EE158" s="31"/>
      <c r="EF158" s="31"/>
      <c r="EG158" s="31"/>
      <c r="EH158" s="31"/>
      <c r="EI158" s="31"/>
      <c r="EJ158" s="31"/>
      <c r="EK158" s="31"/>
      <c r="EL158" s="31"/>
      <c r="EM158" s="31"/>
      <c r="EN158" s="31"/>
      <c r="EO158" s="31"/>
      <c r="EP158" s="31"/>
      <c r="EQ158" s="31"/>
      <c r="ER158" s="31"/>
      <c r="ES158" s="31"/>
      <c r="ET158" s="31"/>
      <c r="EU158" s="31"/>
      <c r="EV158" s="31"/>
      <c r="EW158" s="31"/>
      <c r="EX158" s="31"/>
      <c r="EY158" s="31"/>
      <c r="EZ158" s="31"/>
      <c r="FA158" s="31"/>
      <c r="FB158" s="31"/>
      <c r="FC158" s="31"/>
      <c r="FD158" s="31"/>
      <c r="FE158" s="31"/>
      <c r="FF158" s="31"/>
      <c r="FG158" s="31"/>
      <c r="FH158" s="31"/>
      <c r="FI158" s="31"/>
      <c r="FJ158" s="31"/>
      <c r="FK158" s="31"/>
      <c r="FL158" s="31"/>
      <c r="FM158" s="31"/>
      <c r="FN158" s="31"/>
      <c r="FO158" s="31"/>
      <c r="FP158" s="31"/>
      <c r="FQ158" s="31"/>
      <c r="FR158" s="31"/>
      <c r="FS158" s="31"/>
      <c r="FT158" s="31"/>
      <c r="FU158" s="31"/>
      <c r="FV158" s="31"/>
      <c r="FW158" s="31"/>
      <c r="FX158" s="31"/>
      <c r="FY158" s="31"/>
      <c r="FZ158" s="31"/>
      <c r="GA158" s="31"/>
      <c r="GB158" s="31"/>
      <c r="GC158" s="31"/>
      <c r="GD158" s="31"/>
      <c r="GE158" s="31"/>
      <c r="GF158" s="31"/>
      <c r="GG158" s="31"/>
      <c r="GH158" s="31"/>
      <c r="GI158" s="31"/>
      <c r="GJ158" s="31"/>
      <c r="GK158" s="31"/>
      <c r="GL158" s="31"/>
      <c r="GM158" s="31"/>
      <c r="GN158" s="31"/>
      <c r="GO158" s="31"/>
      <c r="GP158" s="31"/>
      <c r="GQ158" s="31"/>
      <c r="GR158" s="31"/>
      <c r="GS158" s="31"/>
      <c r="GT158" s="31"/>
      <c r="GU158" s="31"/>
      <c r="GV158" s="31"/>
      <c r="GW158" s="31"/>
      <c r="GX158" s="31"/>
      <c r="GY158" s="31"/>
      <c r="GZ158" s="31"/>
      <c r="HA158" s="31"/>
      <c r="HB158" s="31"/>
      <c r="HC158" s="31"/>
      <c r="HD158" s="31"/>
      <c r="HE158" s="31"/>
      <c r="HF158" s="31"/>
      <c r="HG158" s="31"/>
      <c r="HH158" s="31"/>
      <c r="HI158" s="31"/>
      <c r="HJ158" s="31"/>
      <c r="HK158" s="31"/>
      <c r="HL158" s="31"/>
      <c r="HM158" s="31"/>
      <c r="HN158" s="31"/>
      <c r="HO158" s="31"/>
      <c r="HP158" s="31"/>
      <c r="HQ158" s="31"/>
      <c r="HR158" s="31"/>
      <c r="HS158" s="31"/>
      <c r="HT158" s="31"/>
      <c r="HU158" s="31"/>
      <c r="HV158" s="31"/>
      <c r="HW158" s="31"/>
      <c r="HX158" s="31"/>
      <c r="HY158" s="31"/>
      <c r="HZ158" s="31"/>
    </row>
    <row r="159" spans="1:234" ht="14.25" customHeight="1" x14ac:dyDescent="0.35">
      <c r="A159" s="88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30"/>
      <c r="U159" s="27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  <c r="BS159" s="31"/>
      <c r="BT159" s="31"/>
      <c r="BU159" s="31"/>
      <c r="BV159" s="31"/>
      <c r="BW159" s="31"/>
      <c r="BX159" s="31"/>
      <c r="BY159" s="31"/>
      <c r="BZ159" s="31"/>
      <c r="CA159" s="31"/>
      <c r="CB159" s="31"/>
      <c r="CC159" s="31"/>
      <c r="CD159" s="31"/>
      <c r="CE159" s="31"/>
      <c r="CF159" s="31"/>
      <c r="CG159" s="31"/>
      <c r="CH159" s="31"/>
      <c r="CI159" s="31"/>
      <c r="CJ159" s="31"/>
      <c r="CK159" s="31"/>
      <c r="CL159" s="31"/>
      <c r="CM159" s="31"/>
      <c r="CN159" s="31"/>
      <c r="CO159" s="31"/>
      <c r="CP159" s="31"/>
      <c r="CQ159" s="31"/>
      <c r="CR159" s="31"/>
      <c r="CS159" s="31"/>
      <c r="CT159" s="31"/>
      <c r="CU159" s="31"/>
      <c r="CV159" s="31"/>
      <c r="CW159" s="31"/>
      <c r="CX159" s="31"/>
      <c r="CY159" s="31"/>
      <c r="CZ159" s="31"/>
      <c r="DA159" s="31"/>
      <c r="DB159" s="31"/>
      <c r="DC159" s="31"/>
      <c r="DD159" s="31"/>
      <c r="DE159" s="31"/>
      <c r="DF159" s="31"/>
      <c r="DG159" s="31"/>
      <c r="DH159" s="31"/>
      <c r="DI159" s="31"/>
      <c r="DJ159" s="31"/>
      <c r="DK159" s="31"/>
      <c r="DL159" s="31"/>
      <c r="DM159" s="31"/>
      <c r="DN159" s="31"/>
      <c r="DO159" s="31"/>
      <c r="DP159" s="31"/>
      <c r="DQ159" s="31"/>
      <c r="DR159" s="31"/>
      <c r="DS159" s="31"/>
      <c r="DT159" s="31"/>
      <c r="DU159" s="31"/>
      <c r="DV159" s="31"/>
      <c r="DW159" s="31"/>
      <c r="DX159" s="31"/>
      <c r="DY159" s="31"/>
      <c r="DZ159" s="31"/>
      <c r="EA159" s="31"/>
      <c r="EB159" s="31"/>
      <c r="EC159" s="31"/>
      <c r="ED159" s="31"/>
      <c r="EE159" s="31"/>
      <c r="EF159" s="31"/>
      <c r="EG159" s="31"/>
      <c r="EH159" s="31"/>
      <c r="EI159" s="31"/>
      <c r="EJ159" s="31"/>
      <c r="EK159" s="31"/>
      <c r="EL159" s="31"/>
      <c r="EM159" s="31"/>
      <c r="EN159" s="31"/>
      <c r="EO159" s="31"/>
      <c r="EP159" s="31"/>
      <c r="EQ159" s="31"/>
      <c r="ER159" s="31"/>
      <c r="ES159" s="31"/>
      <c r="ET159" s="31"/>
      <c r="EU159" s="31"/>
      <c r="EV159" s="31"/>
      <c r="EW159" s="31"/>
      <c r="EX159" s="31"/>
      <c r="EY159" s="31"/>
      <c r="EZ159" s="31"/>
      <c r="FA159" s="31"/>
      <c r="FB159" s="31"/>
      <c r="FC159" s="31"/>
      <c r="FD159" s="31"/>
      <c r="FE159" s="31"/>
      <c r="FF159" s="31"/>
      <c r="FG159" s="31"/>
      <c r="FH159" s="31"/>
      <c r="FI159" s="31"/>
      <c r="FJ159" s="31"/>
      <c r="FK159" s="31"/>
      <c r="FL159" s="31"/>
      <c r="FM159" s="31"/>
      <c r="FN159" s="31"/>
      <c r="FO159" s="31"/>
      <c r="FP159" s="31"/>
      <c r="FQ159" s="31"/>
      <c r="FR159" s="31"/>
      <c r="FS159" s="31"/>
      <c r="FT159" s="31"/>
      <c r="FU159" s="31"/>
      <c r="FV159" s="31"/>
      <c r="FW159" s="31"/>
      <c r="FX159" s="31"/>
      <c r="FY159" s="31"/>
      <c r="FZ159" s="31"/>
      <c r="GA159" s="31"/>
      <c r="GB159" s="31"/>
      <c r="GC159" s="31"/>
      <c r="GD159" s="31"/>
      <c r="GE159" s="31"/>
      <c r="GF159" s="31"/>
      <c r="GG159" s="31"/>
      <c r="GH159" s="31"/>
      <c r="GI159" s="31"/>
      <c r="GJ159" s="31"/>
      <c r="GK159" s="31"/>
      <c r="GL159" s="31"/>
      <c r="GM159" s="31"/>
      <c r="GN159" s="31"/>
      <c r="GO159" s="31"/>
      <c r="GP159" s="31"/>
      <c r="GQ159" s="31"/>
      <c r="GR159" s="31"/>
      <c r="GS159" s="31"/>
      <c r="GT159" s="31"/>
      <c r="GU159" s="31"/>
      <c r="GV159" s="31"/>
      <c r="GW159" s="31"/>
      <c r="GX159" s="31"/>
      <c r="GY159" s="31"/>
      <c r="GZ159" s="31"/>
      <c r="HA159" s="31"/>
      <c r="HB159" s="31"/>
      <c r="HC159" s="31"/>
      <c r="HD159" s="31"/>
      <c r="HE159" s="31"/>
      <c r="HF159" s="31"/>
      <c r="HG159" s="31"/>
      <c r="HH159" s="31"/>
      <c r="HI159" s="31"/>
      <c r="HJ159" s="31"/>
      <c r="HK159" s="31"/>
      <c r="HL159" s="31"/>
      <c r="HM159" s="31"/>
      <c r="HN159" s="31"/>
      <c r="HO159" s="31"/>
      <c r="HP159" s="31"/>
      <c r="HQ159" s="31"/>
      <c r="HR159" s="31"/>
      <c r="HS159" s="31"/>
      <c r="HT159" s="31"/>
      <c r="HU159" s="31"/>
      <c r="HV159" s="31"/>
      <c r="HW159" s="31"/>
      <c r="HX159" s="31"/>
      <c r="HY159" s="31"/>
      <c r="HZ159" s="31"/>
    </row>
    <row r="160" spans="1:234" ht="14.25" customHeight="1" x14ac:dyDescent="0.35">
      <c r="A160" s="88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30"/>
      <c r="U160" s="27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  <c r="BS160" s="31"/>
      <c r="BT160" s="31"/>
      <c r="BU160" s="31"/>
      <c r="BV160" s="31"/>
      <c r="BW160" s="31"/>
      <c r="BX160" s="31"/>
      <c r="BY160" s="31"/>
      <c r="BZ160" s="31"/>
      <c r="CA160" s="31"/>
      <c r="CB160" s="31"/>
      <c r="CC160" s="31"/>
      <c r="CD160" s="31"/>
      <c r="CE160" s="31"/>
      <c r="CF160" s="31"/>
      <c r="CG160" s="31"/>
      <c r="CH160" s="31"/>
      <c r="CI160" s="31"/>
      <c r="CJ160" s="31"/>
      <c r="CK160" s="31"/>
      <c r="CL160" s="31"/>
      <c r="CM160" s="31"/>
      <c r="CN160" s="31"/>
      <c r="CO160" s="31"/>
      <c r="CP160" s="31"/>
      <c r="CQ160" s="31"/>
      <c r="CR160" s="31"/>
      <c r="CS160" s="31"/>
      <c r="CT160" s="31"/>
      <c r="CU160" s="31"/>
      <c r="CV160" s="31"/>
      <c r="CW160" s="31"/>
      <c r="CX160" s="31"/>
      <c r="CY160" s="31"/>
      <c r="CZ160" s="31"/>
      <c r="DA160" s="31"/>
      <c r="DB160" s="31"/>
      <c r="DC160" s="31"/>
      <c r="DD160" s="31"/>
      <c r="DE160" s="31"/>
      <c r="DF160" s="31"/>
      <c r="DG160" s="31"/>
      <c r="DH160" s="31"/>
      <c r="DI160" s="31"/>
      <c r="DJ160" s="31"/>
      <c r="DK160" s="31"/>
      <c r="DL160" s="31"/>
      <c r="DM160" s="31"/>
      <c r="DN160" s="31"/>
      <c r="DO160" s="31"/>
      <c r="DP160" s="31"/>
      <c r="DQ160" s="31"/>
      <c r="DR160" s="31"/>
      <c r="DS160" s="31"/>
      <c r="DT160" s="31"/>
      <c r="DU160" s="31"/>
      <c r="DV160" s="31"/>
      <c r="DW160" s="31"/>
      <c r="DX160" s="31"/>
      <c r="DY160" s="31"/>
      <c r="DZ160" s="31"/>
      <c r="EA160" s="31"/>
      <c r="EB160" s="31"/>
      <c r="EC160" s="31"/>
      <c r="ED160" s="31"/>
      <c r="EE160" s="31"/>
      <c r="EF160" s="31"/>
      <c r="EG160" s="31"/>
      <c r="EH160" s="31"/>
      <c r="EI160" s="31"/>
      <c r="EJ160" s="31"/>
      <c r="EK160" s="31"/>
      <c r="EL160" s="31"/>
      <c r="EM160" s="31"/>
      <c r="EN160" s="31"/>
      <c r="EO160" s="31"/>
      <c r="EP160" s="31"/>
      <c r="EQ160" s="31"/>
      <c r="ER160" s="31"/>
      <c r="ES160" s="31"/>
      <c r="ET160" s="31"/>
      <c r="EU160" s="31"/>
      <c r="EV160" s="31"/>
      <c r="EW160" s="31"/>
      <c r="EX160" s="31"/>
      <c r="EY160" s="31"/>
      <c r="EZ160" s="31"/>
      <c r="FA160" s="31"/>
      <c r="FB160" s="31"/>
      <c r="FC160" s="31"/>
      <c r="FD160" s="31"/>
      <c r="FE160" s="31"/>
      <c r="FF160" s="31"/>
      <c r="FG160" s="31"/>
      <c r="FH160" s="31"/>
      <c r="FI160" s="31"/>
      <c r="FJ160" s="31"/>
      <c r="FK160" s="31"/>
      <c r="FL160" s="31"/>
      <c r="FM160" s="31"/>
      <c r="FN160" s="31"/>
      <c r="FO160" s="31"/>
      <c r="FP160" s="31"/>
      <c r="FQ160" s="31"/>
      <c r="FR160" s="31"/>
      <c r="FS160" s="31"/>
      <c r="FT160" s="31"/>
      <c r="FU160" s="31"/>
      <c r="FV160" s="31"/>
      <c r="FW160" s="31"/>
      <c r="FX160" s="31"/>
      <c r="FY160" s="31"/>
      <c r="FZ160" s="31"/>
      <c r="GA160" s="31"/>
      <c r="GB160" s="31"/>
      <c r="GC160" s="31"/>
      <c r="GD160" s="31"/>
      <c r="GE160" s="31"/>
      <c r="GF160" s="31"/>
      <c r="GG160" s="31"/>
      <c r="GH160" s="31"/>
      <c r="GI160" s="31"/>
      <c r="GJ160" s="31"/>
      <c r="GK160" s="31"/>
      <c r="GL160" s="31"/>
      <c r="GM160" s="31"/>
      <c r="GN160" s="31"/>
      <c r="GO160" s="31"/>
      <c r="GP160" s="31"/>
      <c r="GQ160" s="31"/>
      <c r="GR160" s="31"/>
      <c r="GS160" s="31"/>
      <c r="GT160" s="31"/>
      <c r="GU160" s="31"/>
      <c r="GV160" s="31"/>
      <c r="GW160" s="31"/>
      <c r="GX160" s="31"/>
      <c r="GY160" s="31"/>
      <c r="GZ160" s="31"/>
      <c r="HA160" s="31"/>
      <c r="HB160" s="31"/>
      <c r="HC160" s="31"/>
      <c r="HD160" s="31"/>
      <c r="HE160" s="31"/>
      <c r="HF160" s="31"/>
      <c r="HG160" s="31"/>
      <c r="HH160" s="31"/>
      <c r="HI160" s="31"/>
      <c r="HJ160" s="31"/>
      <c r="HK160" s="31"/>
      <c r="HL160" s="31"/>
      <c r="HM160" s="31"/>
      <c r="HN160" s="31"/>
      <c r="HO160" s="31"/>
      <c r="HP160" s="31"/>
      <c r="HQ160" s="31"/>
      <c r="HR160" s="31"/>
      <c r="HS160" s="31"/>
      <c r="HT160" s="31"/>
      <c r="HU160" s="31"/>
      <c r="HV160" s="31"/>
      <c r="HW160" s="31"/>
      <c r="HX160" s="31"/>
      <c r="HY160" s="31"/>
      <c r="HZ160" s="31"/>
    </row>
    <row r="161" spans="1:234" ht="14.25" customHeight="1" x14ac:dyDescent="0.35">
      <c r="A161" s="88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30"/>
      <c r="U161" s="27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  <c r="BS161" s="31"/>
      <c r="BT161" s="31"/>
      <c r="BU161" s="31"/>
      <c r="BV161" s="31"/>
      <c r="BW161" s="31"/>
      <c r="BX161" s="31"/>
      <c r="BY161" s="31"/>
      <c r="BZ161" s="31"/>
      <c r="CA161" s="31"/>
      <c r="CB161" s="31"/>
      <c r="CC161" s="31"/>
      <c r="CD161" s="31"/>
      <c r="CE161" s="31"/>
      <c r="CF161" s="31"/>
      <c r="CG161" s="31"/>
      <c r="CH161" s="31"/>
      <c r="CI161" s="31"/>
      <c r="CJ161" s="31"/>
      <c r="CK161" s="31"/>
      <c r="CL161" s="31"/>
      <c r="CM161" s="31"/>
      <c r="CN161" s="31"/>
      <c r="CO161" s="31"/>
      <c r="CP161" s="31"/>
      <c r="CQ161" s="31"/>
      <c r="CR161" s="31"/>
      <c r="CS161" s="31"/>
      <c r="CT161" s="31"/>
      <c r="CU161" s="31"/>
      <c r="CV161" s="31"/>
      <c r="CW161" s="31"/>
      <c r="CX161" s="31"/>
      <c r="CY161" s="31"/>
      <c r="CZ161" s="31"/>
      <c r="DA161" s="31"/>
      <c r="DB161" s="31"/>
      <c r="DC161" s="31"/>
      <c r="DD161" s="31"/>
      <c r="DE161" s="31"/>
      <c r="DF161" s="31"/>
      <c r="DG161" s="31"/>
      <c r="DH161" s="31"/>
      <c r="DI161" s="31"/>
      <c r="DJ161" s="31"/>
      <c r="DK161" s="31"/>
      <c r="DL161" s="31"/>
      <c r="DM161" s="31"/>
      <c r="DN161" s="31"/>
      <c r="DO161" s="31"/>
      <c r="DP161" s="31"/>
      <c r="DQ161" s="31"/>
      <c r="DR161" s="31"/>
      <c r="DS161" s="31"/>
      <c r="DT161" s="31"/>
      <c r="DU161" s="31"/>
      <c r="DV161" s="31"/>
      <c r="DW161" s="31"/>
      <c r="DX161" s="31"/>
      <c r="DY161" s="31"/>
      <c r="DZ161" s="31"/>
      <c r="EA161" s="31"/>
      <c r="EB161" s="31"/>
      <c r="EC161" s="31"/>
      <c r="ED161" s="31"/>
      <c r="EE161" s="31"/>
      <c r="EF161" s="31"/>
      <c r="EG161" s="31"/>
      <c r="EH161" s="31"/>
      <c r="EI161" s="31"/>
      <c r="EJ161" s="31"/>
      <c r="EK161" s="31"/>
      <c r="EL161" s="31"/>
      <c r="EM161" s="31"/>
      <c r="EN161" s="31"/>
      <c r="EO161" s="31"/>
      <c r="EP161" s="31"/>
      <c r="EQ161" s="31"/>
      <c r="ER161" s="31"/>
      <c r="ES161" s="31"/>
      <c r="ET161" s="31"/>
      <c r="EU161" s="31"/>
      <c r="EV161" s="31"/>
      <c r="EW161" s="31"/>
      <c r="EX161" s="31"/>
      <c r="EY161" s="31"/>
      <c r="EZ161" s="31"/>
      <c r="FA161" s="31"/>
      <c r="FB161" s="31"/>
      <c r="FC161" s="31"/>
      <c r="FD161" s="31"/>
      <c r="FE161" s="31"/>
      <c r="FF161" s="31"/>
      <c r="FG161" s="31"/>
      <c r="FH161" s="31"/>
      <c r="FI161" s="31"/>
      <c r="FJ161" s="31"/>
      <c r="FK161" s="31"/>
      <c r="FL161" s="31"/>
      <c r="FM161" s="31"/>
      <c r="FN161" s="31"/>
      <c r="FO161" s="31"/>
      <c r="FP161" s="31"/>
      <c r="FQ161" s="31"/>
      <c r="FR161" s="31"/>
      <c r="FS161" s="31"/>
      <c r="FT161" s="31"/>
      <c r="FU161" s="31"/>
      <c r="FV161" s="31"/>
      <c r="FW161" s="31"/>
      <c r="FX161" s="31"/>
      <c r="FY161" s="31"/>
      <c r="FZ161" s="31"/>
      <c r="GA161" s="31"/>
      <c r="GB161" s="31"/>
      <c r="GC161" s="31"/>
      <c r="GD161" s="31"/>
      <c r="GE161" s="31"/>
      <c r="GF161" s="31"/>
      <c r="GG161" s="31"/>
      <c r="GH161" s="31"/>
      <c r="GI161" s="31"/>
      <c r="GJ161" s="31"/>
      <c r="GK161" s="31"/>
      <c r="GL161" s="31"/>
      <c r="GM161" s="31"/>
      <c r="GN161" s="31"/>
      <c r="GO161" s="31"/>
      <c r="GP161" s="31"/>
      <c r="GQ161" s="31"/>
      <c r="GR161" s="31"/>
      <c r="GS161" s="31"/>
      <c r="GT161" s="31"/>
      <c r="GU161" s="31"/>
      <c r="GV161" s="31"/>
      <c r="GW161" s="31"/>
      <c r="GX161" s="31"/>
      <c r="GY161" s="31"/>
      <c r="GZ161" s="31"/>
      <c r="HA161" s="31"/>
      <c r="HB161" s="31"/>
      <c r="HC161" s="31"/>
      <c r="HD161" s="31"/>
      <c r="HE161" s="31"/>
      <c r="HF161" s="31"/>
      <c r="HG161" s="31"/>
      <c r="HH161" s="31"/>
      <c r="HI161" s="31"/>
      <c r="HJ161" s="31"/>
      <c r="HK161" s="31"/>
      <c r="HL161" s="31"/>
      <c r="HM161" s="31"/>
      <c r="HN161" s="31"/>
      <c r="HO161" s="31"/>
      <c r="HP161" s="31"/>
      <c r="HQ161" s="31"/>
      <c r="HR161" s="31"/>
      <c r="HS161" s="31"/>
      <c r="HT161" s="31"/>
      <c r="HU161" s="31"/>
      <c r="HV161" s="31"/>
      <c r="HW161" s="31"/>
      <c r="HX161" s="31"/>
      <c r="HY161" s="31"/>
      <c r="HZ161" s="31"/>
    </row>
    <row r="162" spans="1:234" ht="14.25" customHeight="1" x14ac:dyDescent="0.35">
      <c r="A162" s="88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30"/>
      <c r="U162" s="27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  <c r="BS162" s="31"/>
      <c r="BT162" s="31"/>
      <c r="BU162" s="31"/>
      <c r="BV162" s="31"/>
      <c r="BW162" s="31"/>
      <c r="BX162" s="31"/>
      <c r="BY162" s="31"/>
      <c r="BZ162" s="31"/>
      <c r="CA162" s="31"/>
      <c r="CB162" s="31"/>
      <c r="CC162" s="31"/>
      <c r="CD162" s="31"/>
      <c r="CE162" s="31"/>
      <c r="CF162" s="31"/>
      <c r="CG162" s="31"/>
      <c r="CH162" s="31"/>
      <c r="CI162" s="31"/>
      <c r="CJ162" s="31"/>
      <c r="CK162" s="31"/>
      <c r="CL162" s="31"/>
      <c r="CM162" s="31"/>
      <c r="CN162" s="31"/>
      <c r="CO162" s="31"/>
      <c r="CP162" s="31"/>
      <c r="CQ162" s="31"/>
      <c r="CR162" s="31"/>
      <c r="CS162" s="31"/>
      <c r="CT162" s="31"/>
      <c r="CU162" s="31"/>
      <c r="CV162" s="31"/>
      <c r="CW162" s="31"/>
      <c r="CX162" s="31"/>
      <c r="CY162" s="31"/>
      <c r="CZ162" s="31"/>
      <c r="DA162" s="31"/>
      <c r="DB162" s="31"/>
      <c r="DC162" s="31"/>
      <c r="DD162" s="31"/>
      <c r="DE162" s="31"/>
      <c r="DF162" s="31"/>
      <c r="DG162" s="31"/>
      <c r="DH162" s="31"/>
      <c r="DI162" s="31"/>
      <c r="DJ162" s="31"/>
      <c r="DK162" s="31"/>
      <c r="DL162" s="31"/>
      <c r="DM162" s="31"/>
      <c r="DN162" s="31"/>
      <c r="DO162" s="31"/>
      <c r="DP162" s="31"/>
      <c r="DQ162" s="31"/>
      <c r="DR162" s="31"/>
      <c r="DS162" s="31"/>
      <c r="DT162" s="31"/>
      <c r="DU162" s="31"/>
      <c r="DV162" s="31"/>
      <c r="DW162" s="31"/>
      <c r="DX162" s="31"/>
      <c r="DY162" s="31"/>
      <c r="DZ162" s="31"/>
      <c r="EA162" s="31"/>
      <c r="EB162" s="31"/>
      <c r="EC162" s="31"/>
      <c r="ED162" s="31"/>
      <c r="EE162" s="31"/>
      <c r="EF162" s="31"/>
      <c r="EG162" s="31"/>
      <c r="EH162" s="31"/>
      <c r="EI162" s="31"/>
      <c r="EJ162" s="31"/>
      <c r="EK162" s="31"/>
      <c r="EL162" s="31"/>
      <c r="EM162" s="31"/>
      <c r="EN162" s="31"/>
      <c r="EO162" s="31"/>
      <c r="EP162" s="31"/>
      <c r="EQ162" s="31"/>
      <c r="ER162" s="31"/>
      <c r="ES162" s="31"/>
      <c r="ET162" s="31"/>
      <c r="EU162" s="31"/>
      <c r="EV162" s="31"/>
      <c r="EW162" s="31"/>
      <c r="EX162" s="31"/>
      <c r="EY162" s="31"/>
      <c r="EZ162" s="31"/>
      <c r="FA162" s="31"/>
      <c r="FB162" s="31"/>
      <c r="FC162" s="31"/>
      <c r="FD162" s="31"/>
      <c r="FE162" s="31"/>
      <c r="FF162" s="31"/>
      <c r="FG162" s="31"/>
      <c r="FH162" s="31"/>
      <c r="FI162" s="31"/>
      <c r="FJ162" s="31"/>
      <c r="FK162" s="31"/>
      <c r="FL162" s="31"/>
      <c r="FM162" s="31"/>
      <c r="FN162" s="31"/>
      <c r="FO162" s="31"/>
      <c r="FP162" s="31"/>
      <c r="FQ162" s="31"/>
      <c r="FR162" s="31"/>
      <c r="FS162" s="31"/>
      <c r="FT162" s="31"/>
      <c r="FU162" s="31"/>
      <c r="FV162" s="31"/>
      <c r="FW162" s="31"/>
      <c r="FX162" s="31"/>
      <c r="FY162" s="31"/>
      <c r="FZ162" s="31"/>
      <c r="GA162" s="31"/>
      <c r="GB162" s="31"/>
      <c r="GC162" s="31"/>
      <c r="GD162" s="31"/>
      <c r="GE162" s="31"/>
      <c r="GF162" s="31"/>
      <c r="GG162" s="31"/>
      <c r="GH162" s="31"/>
      <c r="GI162" s="31"/>
      <c r="GJ162" s="31"/>
      <c r="GK162" s="31"/>
      <c r="GL162" s="31"/>
      <c r="GM162" s="31"/>
      <c r="GN162" s="31"/>
      <c r="GO162" s="31"/>
      <c r="GP162" s="31"/>
      <c r="GQ162" s="31"/>
      <c r="GR162" s="31"/>
      <c r="GS162" s="31"/>
      <c r="GT162" s="31"/>
      <c r="GU162" s="31"/>
      <c r="GV162" s="31"/>
      <c r="GW162" s="31"/>
      <c r="GX162" s="31"/>
      <c r="GY162" s="31"/>
      <c r="GZ162" s="31"/>
      <c r="HA162" s="31"/>
      <c r="HB162" s="31"/>
      <c r="HC162" s="31"/>
      <c r="HD162" s="31"/>
      <c r="HE162" s="31"/>
      <c r="HF162" s="31"/>
      <c r="HG162" s="31"/>
      <c r="HH162" s="31"/>
      <c r="HI162" s="31"/>
      <c r="HJ162" s="31"/>
      <c r="HK162" s="31"/>
      <c r="HL162" s="31"/>
      <c r="HM162" s="31"/>
      <c r="HN162" s="31"/>
      <c r="HO162" s="31"/>
      <c r="HP162" s="31"/>
      <c r="HQ162" s="31"/>
      <c r="HR162" s="31"/>
      <c r="HS162" s="31"/>
      <c r="HT162" s="31"/>
      <c r="HU162" s="31"/>
      <c r="HV162" s="31"/>
      <c r="HW162" s="31"/>
      <c r="HX162" s="31"/>
      <c r="HY162" s="31"/>
      <c r="HZ162" s="31"/>
    </row>
    <row r="163" spans="1:234" ht="14.25" customHeight="1" x14ac:dyDescent="0.35">
      <c r="A163" s="88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30"/>
      <c r="U163" s="27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  <c r="BS163" s="31"/>
      <c r="BT163" s="31"/>
      <c r="BU163" s="31"/>
      <c r="BV163" s="31"/>
      <c r="BW163" s="31"/>
      <c r="BX163" s="31"/>
      <c r="BY163" s="31"/>
      <c r="BZ163" s="31"/>
      <c r="CA163" s="31"/>
      <c r="CB163" s="31"/>
      <c r="CC163" s="31"/>
      <c r="CD163" s="31"/>
      <c r="CE163" s="31"/>
      <c r="CF163" s="31"/>
      <c r="CG163" s="31"/>
      <c r="CH163" s="31"/>
      <c r="CI163" s="31"/>
      <c r="CJ163" s="31"/>
      <c r="CK163" s="31"/>
      <c r="CL163" s="31"/>
      <c r="CM163" s="31"/>
      <c r="CN163" s="31"/>
      <c r="CO163" s="31"/>
      <c r="CP163" s="31"/>
      <c r="CQ163" s="31"/>
      <c r="CR163" s="31"/>
      <c r="CS163" s="31"/>
      <c r="CT163" s="31"/>
      <c r="CU163" s="31"/>
      <c r="CV163" s="31"/>
      <c r="CW163" s="31"/>
      <c r="CX163" s="31"/>
      <c r="CY163" s="31"/>
      <c r="CZ163" s="31"/>
      <c r="DA163" s="31"/>
      <c r="DB163" s="31"/>
      <c r="DC163" s="31"/>
      <c r="DD163" s="31"/>
      <c r="DE163" s="31"/>
      <c r="DF163" s="31"/>
      <c r="DG163" s="31"/>
      <c r="DH163" s="31"/>
      <c r="DI163" s="31"/>
      <c r="DJ163" s="31"/>
      <c r="DK163" s="31"/>
      <c r="DL163" s="31"/>
      <c r="DM163" s="31"/>
      <c r="DN163" s="31"/>
      <c r="DO163" s="31"/>
      <c r="DP163" s="31"/>
      <c r="DQ163" s="31"/>
      <c r="DR163" s="31"/>
      <c r="DS163" s="31"/>
      <c r="DT163" s="31"/>
      <c r="DU163" s="31"/>
      <c r="DV163" s="31"/>
      <c r="DW163" s="31"/>
      <c r="DX163" s="31"/>
      <c r="DY163" s="31"/>
      <c r="DZ163" s="31"/>
      <c r="EA163" s="31"/>
      <c r="EB163" s="31"/>
      <c r="EC163" s="31"/>
      <c r="ED163" s="31"/>
      <c r="EE163" s="31"/>
      <c r="EF163" s="31"/>
      <c r="EG163" s="31"/>
      <c r="EH163" s="31"/>
      <c r="EI163" s="31"/>
      <c r="EJ163" s="31"/>
      <c r="EK163" s="31"/>
      <c r="EL163" s="31"/>
      <c r="EM163" s="31"/>
      <c r="EN163" s="31"/>
      <c r="EO163" s="31"/>
      <c r="EP163" s="31"/>
      <c r="EQ163" s="31"/>
      <c r="ER163" s="31"/>
      <c r="ES163" s="31"/>
      <c r="ET163" s="31"/>
      <c r="EU163" s="31"/>
      <c r="EV163" s="31"/>
      <c r="EW163" s="31"/>
      <c r="EX163" s="31"/>
      <c r="EY163" s="31"/>
      <c r="EZ163" s="31"/>
      <c r="FA163" s="31"/>
      <c r="FB163" s="31"/>
      <c r="FC163" s="31"/>
      <c r="FD163" s="31"/>
      <c r="FE163" s="31"/>
      <c r="FF163" s="31"/>
      <c r="FG163" s="31"/>
      <c r="FH163" s="31"/>
      <c r="FI163" s="31"/>
      <c r="FJ163" s="31"/>
      <c r="FK163" s="31"/>
      <c r="FL163" s="31"/>
      <c r="FM163" s="31"/>
      <c r="FN163" s="31"/>
      <c r="FO163" s="31"/>
      <c r="FP163" s="31"/>
      <c r="FQ163" s="31"/>
      <c r="FR163" s="31"/>
      <c r="FS163" s="31"/>
      <c r="FT163" s="31"/>
      <c r="FU163" s="31"/>
      <c r="FV163" s="31"/>
      <c r="FW163" s="31"/>
      <c r="FX163" s="31"/>
      <c r="FY163" s="31"/>
      <c r="FZ163" s="31"/>
      <c r="GA163" s="31"/>
      <c r="GB163" s="31"/>
      <c r="GC163" s="31"/>
      <c r="GD163" s="31"/>
      <c r="GE163" s="31"/>
      <c r="GF163" s="31"/>
      <c r="GG163" s="31"/>
      <c r="GH163" s="31"/>
      <c r="GI163" s="31"/>
      <c r="GJ163" s="31"/>
      <c r="GK163" s="31"/>
      <c r="GL163" s="31"/>
      <c r="GM163" s="31"/>
      <c r="GN163" s="31"/>
      <c r="GO163" s="31"/>
      <c r="GP163" s="31"/>
      <c r="GQ163" s="31"/>
      <c r="GR163" s="31"/>
      <c r="GS163" s="31"/>
      <c r="GT163" s="31"/>
      <c r="GU163" s="31"/>
      <c r="GV163" s="31"/>
      <c r="GW163" s="31"/>
      <c r="GX163" s="31"/>
      <c r="GY163" s="31"/>
      <c r="GZ163" s="31"/>
      <c r="HA163" s="31"/>
      <c r="HB163" s="31"/>
      <c r="HC163" s="31"/>
      <c r="HD163" s="31"/>
      <c r="HE163" s="31"/>
      <c r="HF163" s="31"/>
      <c r="HG163" s="31"/>
      <c r="HH163" s="31"/>
      <c r="HI163" s="31"/>
      <c r="HJ163" s="31"/>
      <c r="HK163" s="31"/>
      <c r="HL163" s="31"/>
      <c r="HM163" s="31"/>
      <c r="HN163" s="31"/>
      <c r="HO163" s="31"/>
      <c r="HP163" s="31"/>
      <c r="HQ163" s="31"/>
      <c r="HR163" s="31"/>
      <c r="HS163" s="31"/>
      <c r="HT163" s="31"/>
      <c r="HU163" s="31"/>
      <c r="HV163" s="31"/>
      <c r="HW163" s="31"/>
      <c r="HX163" s="31"/>
      <c r="HY163" s="31"/>
      <c r="HZ163" s="31"/>
    </row>
    <row r="164" spans="1:234" ht="14.25" customHeight="1" x14ac:dyDescent="0.35">
      <c r="A164" s="88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30"/>
      <c r="U164" s="27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  <c r="BS164" s="31"/>
      <c r="BT164" s="31"/>
      <c r="BU164" s="31"/>
      <c r="BV164" s="31"/>
      <c r="BW164" s="31"/>
      <c r="BX164" s="31"/>
      <c r="BY164" s="31"/>
      <c r="BZ164" s="31"/>
      <c r="CA164" s="31"/>
      <c r="CB164" s="31"/>
      <c r="CC164" s="31"/>
      <c r="CD164" s="31"/>
      <c r="CE164" s="31"/>
      <c r="CF164" s="31"/>
      <c r="CG164" s="31"/>
      <c r="CH164" s="31"/>
      <c r="CI164" s="31"/>
      <c r="CJ164" s="31"/>
      <c r="CK164" s="31"/>
      <c r="CL164" s="31"/>
      <c r="CM164" s="31"/>
      <c r="CN164" s="31"/>
      <c r="CO164" s="31"/>
      <c r="CP164" s="31"/>
      <c r="CQ164" s="31"/>
      <c r="CR164" s="31"/>
      <c r="CS164" s="31"/>
      <c r="CT164" s="31"/>
      <c r="CU164" s="31"/>
      <c r="CV164" s="31"/>
      <c r="CW164" s="31"/>
      <c r="CX164" s="31"/>
      <c r="CY164" s="31"/>
      <c r="CZ164" s="31"/>
      <c r="DA164" s="31"/>
      <c r="DB164" s="31"/>
      <c r="DC164" s="31"/>
      <c r="DD164" s="31"/>
      <c r="DE164" s="31"/>
      <c r="DF164" s="31"/>
      <c r="DG164" s="31"/>
      <c r="DH164" s="31"/>
      <c r="DI164" s="31"/>
      <c r="DJ164" s="31"/>
      <c r="DK164" s="31"/>
      <c r="DL164" s="31"/>
      <c r="DM164" s="31"/>
      <c r="DN164" s="31"/>
      <c r="DO164" s="31"/>
      <c r="DP164" s="31"/>
      <c r="DQ164" s="31"/>
      <c r="DR164" s="31"/>
      <c r="DS164" s="31"/>
      <c r="DT164" s="31"/>
      <c r="DU164" s="31"/>
      <c r="DV164" s="31"/>
      <c r="DW164" s="31"/>
      <c r="DX164" s="31"/>
      <c r="DY164" s="31"/>
      <c r="DZ164" s="31"/>
      <c r="EA164" s="31"/>
      <c r="EB164" s="31"/>
      <c r="EC164" s="31"/>
      <c r="ED164" s="31"/>
      <c r="EE164" s="31"/>
      <c r="EF164" s="31"/>
      <c r="EG164" s="31"/>
      <c r="EH164" s="31"/>
      <c r="EI164" s="31"/>
      <c r="EJ164" s="31"/>
      <c r="EK164" s="31"/>
      <c r="EL164" s="31"/>
      <c r="EM164" s="31"/>
      <c r="EN164" s="31"/>
      <c r="EO164" s="31"/>
      <c r="EP164" s="31"/>
      <c r="EQ164" s="31"/>
      <c r="ER164" s="31"/>
      <c r="ES164" s="31"/>
      <c r="ET164" s="31"/>
      <c r="EU164" s="31"/>
      <c r="EV164" s="31"/>
      <c r="EW164" s="31"/>
      <c r="EX164" s="31"/>
      <c r="EY164" s="31"/>
      <c r="EZ164" s="31"/>
      <c r="FA164" s="31"/>
      <c r="FB164" s="31"/>
      <c r="FC164" s="31"/>
      <c r="FD164" s="31"/>
      <c r="FE164" s="31"/>
      <c r="FF164" s="31"/>
      <c r="FG164" s="31"/>
      <c r="FH164" s="31"/>
      <c r="FI164" s="31"/>
      <c r="FJ164" s="31"/>
      <c r="FK164" s="31"/>
      <c r="FL164" s="31"/>
      <c r="FM164" s="31"/>
      <c r="FN164" s="31"/>
      <c r="FO164" s="31"/>
      <c r="FP164" s="31"/>
      <c r="FQ164" s="31"/>
      <c r="FR164" s="31"/>
      <c r="FS164" s="31"/>
      <c r="FT164" s="31"/>
      <c r="FU164" s="31"/>
      <c r="FV164" s="31"/>
      <c r="FW164" s="31"/>
      <c r="FX164" s="31"/>
      <c r="FY164" s="31"/>
      <c r="FZ164" s="31"/>
      <c r="GA164" s="31"/>
      <c r="GB164" s="31"/>
      <c r="GC164" s="31"/>
      <c r="GD164" s="31"/>
      <c r="GE164" s="31"/>
      <c r="GF164" s="31"/>
      <c r="GG164" s="31"/>
      <c r="GH164" s="31"/>
      <c r="GI164" s="31"/>
      <c r="GJ164" s="31"/>
      <c r="GK164" s="31"/>
      <c r="GL164" s="31"/>
      <c r="GM164" s="31"/>
      <c r="GN164" s="31"/>
      <c r="GO164" s="31"/>
      <c r="GP164" s="31"/>
      <c r="GQ164" s="31"/>
      <c r="GR164" s="31"/>
      <c r="GS164" s="31"/>
      <c r="GT164" s="31"/>
      <c r="GU164" s="31"/>
      <c r="GV164" s="31"/>
      <c r="GW164" s="31"/>
      <c r="GX164" s="31"/>
      <c r="GY164" s="31"/>
      <c r="GZ164" s="31"/>
      <c r="HA164" s="31"/>
      <c r="HB164" s="31"/>
      <c r="HC164" s="31"/>
      <c r="HD164" s="31"/>
      <c r="HE164" s="31"/>
      <c r="HF164" s="31"/>
      <c r="HG164" s="31"/>
      <c r="HH164" s="31"/>
      <c r="HI164" s="31"/>
      <c r="HJ164" s="31"/>
      <c r="HK164" s="31"/>
      <c r="HL164" s="31"/>
      <c r="HM164" s="31"/>
      <c r="HN164" s="31"/>
      <c r="HO164" s="31"/>
      <c r="HP164" s="31"/>
      <c r="HQ164" s="31"/>
      <c r="HR164" s="31"/>
      <c r="HS164" s="31"/>
      <c r="HT164" s="31"/>
      <c r="HU164" s="31"/>
      <c r="HV164" s="31"/>
      <c r="HW164" s="31"/>
      <c r="HX164" s="31"/>
      <c r="HY164" s="31"/>
      <c r="HZ164" s="31"/>
    </row>
    <row r="165" spans="1:234" ht="14.25" customHeight="1" x14ac:dyDescent="0.35">
      <c r="A165" s="88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30"/>
      <c r="U165" s="27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  <c r="BS165" s="31"/>
      <c r="BT165" s="31"/>
      <c r="BU165" s="31"/>
      <c r="BV165" s="31"/>
      <c r="BW165" s="31"/>
      <c r="BX165" s="31"/>
      <c r="BY165" s="31"/>
      <c r="BZ165" s="31"/>
      <c r="CA165" s="31"/>
      <c r="CB165" s="31"/>
      <c r="CC165" s="31"/>
      <c r="CD165" s="31"/>
      <c r="CE165" s="31"/>
      <c r="CF165" s="31"/>
      <c r="CG165" s="31"/>
      <c r="CH165" s="31"/>
      <c r="CI165" s="31"/>
      <c r="CJ165" s="31"/>
      <c r="CK165" s="31"/>
      <c r="CL165" s="31"/>
      <c r="CM165" s="31"/>
      <c r="CN165" s="31"/>
      <c r="CO165" s="31"/>
      <c r="CP165" s="31"/>
      <c r="CQ165" s="31"/>
      <c r="CR165" s="31"/>
      <c r="CS165" s="31"/>
      <c r="CT165" s="31"/>
      <c r="CU165" s="31"/>
      <c r="CV165" s="31"/>
      <c r="CW165" s="31"/>
      <c r="CX165" s="31"/>
      <c r="CY165" s="31"/>
      <c r="CZ165" s="31"/>
      <c r="DA165" s="31"/>
      <c r="DB165" s="31"/>
      <c r="DC165" s="31"/>
      <c r="DD165" s="31"/>
      <c r="DE165" s="31"/>
      <c r="DF165" s="31"/>
      <c r="DG165" s="31"/>
      <c r="DH165" s="31"/>
      <c r="DI165" s="31"/>
      <c r="DJ165" s="31"/>
      <c r="DK165" s="31"/>
      <c r="DL165" s="31"/>
      <c r="DM165" s="31"/>
      <c r="DN165" s="31"/>
      <c r="DO165" s="31"/>
      <c r="DP165" s="31"/>
      <c r="DQ165" s="31"/>
      <c r="DR165" s="31"/>
      <c r="DS165" s="31"/>
      <c r="DT165" s="31"/>
      <c r="DU165" s="31"/>
      <c r="DV165" s="31"/>
      <c r="DW165" s="31"/>
      <c r="DX165" s="31"/>
      <c r="DY165" s="31"/>
      <c r="DZ165" s="31"/>
      <c r="EA165" s="31"/>
      <c r="EB165" s="31"/>
      <c r="EC165" s="31"/>
      <c r="ED165" s="31"/>
      <c r="EE165" s="31"/>
      <c r="EF165" s="31"/>
      <c r="EG165" s="31"/>
      <c r="EH165" s="31"/>
      <c r="EI165" s="31"/>
      <c r="EJ165" s="31"/>
      <c r="EK165" s="31"/>
      <c r="EL165" s="31"/>
      <c r="EM165" s="31"/>
      <c r="EN165" s="31"/>
      <c r="EO165" s="31"/>
      <c r="EP165" s="31"/>
      <c r="EQ165" s="31"/>
      <c r="ER165" s="31"/>
      <c r="ES165" s="31"/>
      <c r="ET165" s="31"/>
      <c r="EU165" s="31"/>
      <c r="EV165" s="31"/>
      <c r="EW165" s="31"/>
      <c r="EX165" s="31"/>
      <c r="EY165" s="31"/>
      <c r="EZ165" s="31"/>
      <c r="FA165" s="31"/>
      <c r="FB165" s="31"/>
      <c r="FC165" s="31"/>
      <c r="FD165" s="31"/>
      <c r="FE165" s="31"/>
      <c r="FF165" s="31"/>
      <c r="FG165" s="31"/>
      <c r="FH165" s="31"/>
      <c r="FI165" s="31"/>
      <c r="FJ165" s="31"/>
      <c r="FK165" s="31"/>
      <c r="FL165" s="31"/>
      <c r="FM165" s="31"/>
      <c r="FN165" s="31"/>
      <c r="FO165" s="31"/>
      <c r="FP165" s="31"/>
      <c r="FQ165" s="31"/>
      <c r="FR165" s="31"/>
      <c r="FS165" s="31"/>
      <c r="FT165" s="31"/>
      <c r="FU165" s="31"/>
      <c r="FV165" s="31"/>
      <c r="FW165" s="31"/>
      <c r="FX165" s="31"/>
      <c r="FY165" s="31"/>
      <c r="FZ165" s="31"/>
      <c r="GA165" s="31"/>
      <c r="GB165" s="31"/>
      <c r="GC165" s="31"/>
      <c r="GD165" s="31"/>
      <c r="GE165" s="31"/>
      <c r="GF165" s="31"/>
      <c r="GG165" s="31"/>
      <c r="GH165" s="31"/>
      <c r="GI165" s="31"/>
      <c r="GJ165" s="31"/>
      <c r="GK165" s="31"/>
      <c r="GL165" s="31"/>
      <c r="GM165" s="31"/>
      <c r="GN165" s="31"/>
      <c r="GO165" s="31"/>
      <c r="GP165" s="31"/>
      <c r="GQ165" s="31"/>
      <c r="GR165" s="31"/>
      <c r="GS165" s="31"/>
      <c r="GT165" s="31"/>
      <c r="GU165" s="31"/>
      <c r="GV165" s="31"/>
      <c r="GW165" s="31"/>
      <c r="GX165" s="31"/>
      <c r="GY165" s="31"/>
      <c r="GZ165" s="31"/>
      <c r="HA165" s="31"/>
      <c r="HB165" s="31"/>
      <c r="HC165" s="31"/>
      <c r="HD165" s="31"/>
      <c r="HE165" s="31"/>
      <c r="HF165" s="31"/>
      <c r="HG165" s="31"/>
      <c r="HH165" s="31"/>
      <c r="HI165" s="31"/>
      <c r="HJ165" s="31"/>
      <c r="HK165" s="31"/>
      <c r="HL165" s="31"/>
      <c r="HM165" s="31"/>
      <c r="HN165" s="31"/>
      <c r="HO165" s="31"/>
      <c r="HP165" s="31"/>
      <c r="HQ165" s="31"/>
      <c r="HR165" s="31"/>
      <c r="HS165" s="31"/>
      <c r="HT165" s="31"/>
      <c r="HU165" s="31"/>
      <c r="HV165" s="31"/>
      <c r="HW165" s="31"/>
      <c r="HX165" s="31"/>
      <c r="HY165" s="31"/>
      <c r="HZ165" s="31"/>
    </row>
    <row r="166" spans="1:234" ht="14.25" customHeight="1" x14ac:dyDescent="0.35">
      <c r="A166" s="88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30"/>
      <c r="U166" s="27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  <c r="BS166" s="31"/>
      <c r="BT166" s="31"/>
      <c r="BU166" s="31"/>
      <c r="BV166" s="31"/>
      <c r="BW166" s="31"/>
      <c r="BX166" s="31"/>
      <c r="BY166" s="31"/>
      <c r="BZ166" s="31"/>
      <c r="CA166" s="31"/>
      <c r="CB166" s="31"/>
      <c r="CC166" s="31"/>
      <c r="CD166" s="31"/>
      <c r="CE166" s="31"/>
      <c r="CF166" s="31"/>
      <c r="CG166" s="31"/>
      <c r="CH166" s="31"/>
      <c r="CI166" s="31"/>
      <c r="CJ166" s="31"/>
      <c r="CK166" s="31"/>
      <c r="CL166" s="31"/>
      <c r="CM166" s="31"/>
      <c r="CN166" s="31"/>
      <c r="CO166" s="31"/>
      <c r="CP166" s="31"/>
      <c r="CQ166" s="31"/>
      <c r="CR166" s="31"/>
      <c r="CS166" s="31"/>
      <c r="CT166" s="31"/>
      <c r="CU166" s="31"/>
      <c r="CV166" s="31"/>
      <c r="CW166" s="31"/>
      <c r="CX166" s="31"/>
      <c r="CY166" s="31"/>
      <c r="CZ166" s="31"/>
      <c r="DA166" s="31"/>
      <c r="DB166" s="31"/>
      <c r="DC166" s="31"/>
      <c r="DD166" s="31"/>
      <c r="DE166" s="31"/>
      <c r="DF166" s="31"/>
      <c r="DG166" s="31"/>
      <c r="DH166" s="31"/>
      <c r="DI166" s="31"/>
      <c r="DJ166" s="31"/>
      <c r="DK166" s="31"/>
      <c r="DL166" s="31"/>
      <c r="DM166" s="31"/>
      <c r="DN166" s="31"/>
      <c r="DO166" s="31"/>
      <c r="DP166" s="31"/>
      <c r="DQ166" s="31"/>
      <c r="DR166" s="31"/>
      <c r="DS166" s="31"/>
      <c r="DT166" s="31"/>
      <c r="DU166" s="31"/>
      <c r="DV166" s="31"/>
      <c r="DW166" s="31"/>
      <c r="DX166" s="31"/>
      <c r="DY166" s="31"/>
      <c r="DZ166" s="31"/>
      <c r="EA166" s="31"/>
      <c r="EB166" s="31"/>
      <c r="EC166" s="31"/>
      <c r="ED166" s="31"/>
      <c r="EE166" s="31"/>
      <c r="EF166" s="31"/>
      <c r="EG166" s="31"/>
      <c r="EH166" s="31"/>
      <c r="EI166" s="31"/>
      <c r="EJ166" s="31"/>
      <c r="EK166" s="31"/>
      <c r="EL166" s="31"/>
      <c r="EM166" s="31"/>
      <c r="EN166" s="31"/>
      <c r="EO166" s="31"/>
      <c r="EP166" s="31"/>
      <c r="EQ166" s="31"/>
      <c r="ER166" s="31"/>
      <c r="ES166" s="31"/>
      <c r="ET166" s="31"/>
      <c r="EU166" s="31"/>
      <c r="EV166" s="31"/>
      <c r="EW166" s="31"/>
      <c r="EX166" s="31"/>
      <c r="EY166" s="31"/>
      <c r="EZ166" s="31"/>
      <c r="FA166" s="31"/>
      <c r="FB166" s="31"/>
      <c r="FC166" s="31"/>
      <c r="FD166" s="31"/>
      <c r="FE166" s="31"/>
      <c r="FF166" s="31"/>
      <c r="FG166" s="31"/>
      <c r="FH166" s="31"/>
      <c r="FI166" s="31"/>
      <c r="FJ166" s="31"/>
      <c r="FK166" s="31"/>
      <c r="FL166" s="31"/>
      <c r="FM166" s="31"/>
      <c r="FN166" s="31"/>
      <c r="FO166" s="31"/>
      <c r="FP166" s="31"/>
      <c r="FQ166" s="31"/>
      <c r="FR166" s="31"/>
      <c r="FS166" s="31"/>
      <c r="FT166" s="31"/>
      <c r="FU166" s="31"/>
      <c r="FV166" s="31"/>
      <c r="FW166" s="31"/>
      <c r="FX166" s="31"/>
      <c r="FY166" s="31"/>
      <c r="FZ166" s="31"/>
      <c r="GA166" s="31"/>
      <c r="GB166" s="31"/>
      <c r="GC166" s="31"/>
      <c r="GD166" s="31"/>
      <c r="GE166" s="31"/>
      <c r="GF166" s="31"/>
      <c r="GG166" s="31"/>
      <c r="GH166" s="31"/>
      <c r="GI166" s="31"/>
      <c r="GJ166" s="31"/>
      <c r="GK166" s="31"/>
      <c r="GL166" s="31"/>
      <c r="GM166" s="31"/>
      <c r="GN166" s="31"/>
      <c r="GO166" s="31"/>
      <c r="GP166" s="31"/>
      <c r="GQ166" s="31"/>
      <c r="GR166" s="31"/>
      <c r="GS166" s="31"/>
      <c r="GT166" s="31"/>
      <c r="GU166" s="31"/>
      <c r="GV166" s="31"/>
      <c r="GW166" s="31"/>
      <c r="GX166" s="31"/>
      <c r="GY166" s="31"/>
      <c r="GZ166" s="31"/>
      <c r="HA166" s="31"/>
      <c r="HB166" s="31"/>
      <c r="HC166" s="31"/>
      <c r="HD166" s="31"/>
      <c r="HE166" s="31"/>
      <c r="HF166" s="31"/>
      <c r="HG166" s="31"/>
      <c r="HH166" s="31"/>
      <c r="HI166" s="31"/>
      <c r="HJ166" s="31"/>
      <c r="HK166" s="31"/>
      <c r="HL166" s="31"/>
      <c r="HM166" s="31"/>
      <c r="HN166" s="31"/>
      <c r="HO166" s="31"/>
      <c r="HP166" s="31"/>
      <c r="HQ166" s="31"/>
      <c r="HR166" s="31"/>
      <c r="HS166" s="31"/>
      <c r="HT166" s="31"/>
      <c r="HU166" s="31"/>
      <c r="HV166" s="31"/>
      <c r="HW166" s="31"/>
      <c r="HX166" s="31"/>
      <c r="HY166" s="31"/>
      <c r="HZ166" s="31"/>
    </row>
    <row r="167" spans="1:234" ht="14.25" customHeight="1" x14ac:dyDescent="0.35">
      <c r="A167" s="88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30"/>
      <c r="U167" s="27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  <c r="BS167" s="31"/>
      <c r="BT167" s="31"/>
      <c r="BU167" s="31"/>
      <c r="BV167" s="31"/>
      <c r="BW167" s="31"/>
      <c r="BX167" s="31"/>
      <c r="BY167" s="31"/>
      <c r="BZ167" s="31"/>
      <c r="CA167" s="31"/>
      <c r="CB167" s="31"/>
      <c r="CC167" s="31"/>
      <c r="CD167" s="31"/>
      <c r="CE167" s="31"/>
      <c r="CF167" s="31"/>
      <c r="CG167" s="31"/>
      <c r="CH167" s="31"/>
      <c r="CI167" s="31"/>
      <c r="CJ167" s="31"/>
      <c r="CK167" s="31"/>
      <c r="CL167" s="31"/>
      <c r="CM167" s="31"/>
      <c r="CN167" s="31"/>
      <c r="CO167" s="31"/>
      <c r="CP167" s="31"/>
      <c r="CQ167" s="31"/>
      <c r="CR167" s="31"/>
      <c r="CS167" s="31"/>
      <c r="CT167" s="31"/>
      <c r="CU167" s="31"/>
      <c r="CV167" s="31"/>
      <c r="CW167" s="31"/>
      <c r="CX167" s="31"/>
      <c r="CY167" s="31"/>
      <c r="CZ167" s="31"/>
      <c r="DA167" s="31"/>
      <c r="DB167" s="31"/>
      <c r="DC167" s="31"/>
      <c r="DD167" s="31"/>
      <c r="DE167" s="31"/>
      <c r="DF167" s="31"/>
      <c r="DG167" s="31"/>
      <c r="DH167" s="31"/>
      <c r="DI167" s="31"/>
      <c r="DJ167" s="31"/>
      <c r="DK167" s="31"/>
      <c r="DL167" s="31"/>
      <c r="DM167" s="31"/>
      <c r="DN167" s="31"/>
      <c r="DO167" s="31"/>
      <c r="DP167" s="31"/>
      <c r="DQ167" s="31"/>
      <c r="DR167" s="31"/>
      <c r="DS167" s="31"/>
      <c r="DT167" s="31"/>
      <c r="DU167" s="31"/>
      <c r="DV167" s="31"/>
      <c r="DW167" s="31"/>
      <c r="DX167" s="31"/>
      <c r="DY167" s="31"/>
      <c r="DZ167" s="31"/>
      <c r="EA167" s="31"/>
      <c r="EB167" s="31"/>
      <c r="EC167" s="31"/>
      <c r="ED167" s="31"/>
      <c r="EE167" s="31"/>
      <c r="EF167" s="31"/>
      <c r="EG167" s="31"/>
      <c r="EH167" s="31"/>
      <c r="EI167" s="31"/>
      <c r="EJ167" s="31"/>
      <c r="EK167" s="31"/>
      <c r="EL167" s="31"/>
      <c r="EM167" s="31"/>
      <c r="EN167" s="31"/>
      <c r="EO167" s="31"/>
      <c r="EP167" s="31"/>
      <c r="EQ167" s="31"/>
      <c r="ER167" s="31"/>
      <c r="ES167" s="31"/>
      <c r="ET167" s="31"/>
      <c r="EU167" s="31"/>
      <c r="EV167" s="31"/>
      <c r="EW167" s="31"/>
      <c r="EX167" s="31"/>
      <c r="EY167" s="31"/>
      <c r="EZ167" s="31"/>
      <c r="FA167" s="31"/>
      <c r="FB167" s="31"/>
      <c r="FC167" s="31"/>
      <c r="FD167" s="31"/>
      <c r="FE167" s="31"/>
      <c r="FF167" s="31"/>
      <c r="FG167" s="31"/>
      <c r="FH167" s="31"/>
      <c r="FI167" s="31"/>
      <c r="FJ167" s="31"/>
      <c r="FK167" s="31"/>
      <c r="FL167" s="31"/>
      <c r="FM167" s="31"/>
      <c r="FN167" s="31"/>
      <c r="FO167" s="31"/>
      <c r="FP167" s="31"/>
      <c r="FQ167" s="31"/>
      <c r="FR167" s="31"/>
      <c r="FS167" s="31"/>
      <c r="FT167" s="31"/>
      <c r="FU167" s="31"/>
      <c r="FV167" s="31"/>
      <c r="FW167" s="31"/>
      <c r="FX167" s="31"/>
      <c r="FY167" s="31"/>
      <c r="FZ167" s="31"/>
      <c r="GA167" s="31"/>
      <c r="GB167" s="31"/>
      <c r="GC167" s="31"/>
      <c r="GD167" s="31"/>
      <c r="GE167" s="31"/>
      <c r="GF167" s="31"/>
      <c r="GG167" s="31"/>
      <c r="GH167" s="31"/>
      <c r="GI167" s="31"/>
      <c r="GJ167" s="31"/>
      <c r="GK167" s="31"/>
      <c r="GL167" s="31"/>
      <c r="GM167" s="31"/>
      <c r="GN167" s="31"/>
      <c r="GO167" s="31"/>
      <c r="GP167" s="31"/>
      <c r="GQ167" s="31"/>
      <c r="GR167" s="31"/>
      <c r="GS167" s="31"/>
      <c r="GT167" s="31"/>
      <c r="GU167" s="31"/>
      <c r="GV167" s="31"/>
      <c r="GW167" s="31"/>
      <c r="GX167" s="31"/>
      <c r="GY167" s="31"/>
      <c r="GZ167" s="31"/>
      <c r="HA167" s="31"/>
      <c r="HB167" s="31"/>
      <c r="HC167" s="31"/>
      <c r="HD167" s="31"/>
      <c r="HE167" s="31"/>
      <c r="HF167" s="31"/>
      <c r="HG167" s="31"/>
      <c r="HH167" s="31"/>
      <c r="HI167" s="31"/>
      <c r="HJ167" s="31"/>
      <c r="HK167" s="31"/>
      <c r="HL167" s="31"/>
      <c r="HM167" s="31"/>
      <c r="HN167" s="31"/>
      <c r="HO167" s="31"/>
      <c r="HP167" s="31"/>
      <c r="HQ167" s="31"/>
      <c r="HR167" s="31"/>
      <c r="HS167" s="31"/>
      <c r="HT167" s="31"/>
      <c r="HU167" s="31"/>
      <c r="HV167" s="31"/>
      <c r="HW167" s="31"/>
      <c r="HX167" s="31"/>
      <c r="HY167" s="31"/>
      <c r="HZ167" s="31"/>
    </row>
    <row r="168" spans="1:234" ht="14.25" customHeight="1" x14ac:dyDescent="0.35">
      <c r="A168" s="88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30"/>
      <c r="U168" s="27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  <c r="BS168" s="31"/>
      <c r="BT168" s="31"/>
      <c r="BU168" s="31"/>
      <c r="BV168" s="31"/>
      <c r="BW168" s="31"/>
      <c r="BX168" s="31"/>
      <c r="BY168" s="31"/>
      <c r="BZ168" s="31"/>
      <c r="CA168" s="31"/>
      <c r="CB168" s="31"/>
      <c r="CC168" s="31"/>
      <c r="CD168" s="31"/>
      <c r="CE168" s="31"/>
      <c r="CF168" s="31"/>
      <c r="CG168" s="31"/>
      <c r="CH168" s="31"/>
      <c r="CI168" s="31"/>
      <c r="CJ168" s="31"/>
      <c r="CK168" s="31"/>
      <c r="CL168" s="31"/>
      <c r="CM168" s="31"/>
      <c r="CN168" s="31"/>
      <c r="CO168" s="31"/>
      <c r="CP168" s="31"/>
      <c r="CQ168" s="31"/>
      <c r="CR168" s="31"/>
      <c r="CS168" s="31"/>
      <c r="CT168" s="31"/>
      <c r="CU168" s="31"/>
      <c r="CV168" s="31"/>
      <c r="CW168" s="31"/>
      <c r="CX168" s="31"/>
      <c r="CY168" s="31"/>
      <c r="CZ168" s="31"/>
      <c r="DA168" s="31"/>
      <c r="DB168" s="31"/>
      <c r="DC168" s="31"/>
      <c r="DD168" s="31"/>
      <c r="DE168" s="31"/>
      <c r="DF168" s="31"/>
      <c r="DG168" s="31"/>
      <c r="DH168" s="31"/>
      <c r="DI168" s="31"/>
      <c r="DJ168" s="31"/>
      <c r="DK168" s="31"/>
      <c r="DL168" s="31"/>
      <c r="DM168" s="31"/>
      <c r="DN168" s="31"/>
      <c r="DO168" s="31"/>
      <c r="DP168" s="31"/>
      <c r="DQ168" s="31"/>
      <c r="DR168" s="31"/>
      <c r="DS168" s="31"/>
      <c r="DT168" s="31"/>
      <c r="DU168" s="31"/>
      <c r="DV168" s="31"/>
      <c r="DW168" s="31"/>
      <c r="DX168" s="31"/>
      <c r="DY168" s="31"/>
      <c r="DZ168" s="31"/>
      <c r="EA168" s="31"/>
      <c r="EB168" s="31"/>
      <c r="EC168" s="31"/>
      <c r="ED168" s="31"/>
      <c r="EE168" s="31"/>
      <c r="EF168" s="31"/>
      <c r="EG168" s="31"/>
      <c r="EH168" s="31"/>
      <c r="EI168" s="31"/>
      <c r="EJ168" s="31"/>
      <c r="EK168" s="31"/>
      <c r="EL168" s="31"/>
      <c r="EM168" s="31"/>
      <c r="EN168" s="31"/>
      <c r="EO168" s="31"/>
      <c r="EP168" s="31"/>
      <c r="EQ168" s="31"/>
      <c r="ER168" s="31"/>
      <c r="ES168" s="31"/>
      <c r="ET168" s="31"/>
      <c r="EU168" s="31"/>
      <c r="EV168" s="31"/>
      <c r="EW168" s="31"/>
      <c r="EX168" s="31"/>
      <c r="EY168" s="31"/>
      <c r="EZ168" s="31"/>
      <c r="FA168" s="31"/>
      <c r="FB168" s="31"/>
      <c r="FC168" s="31"/>
      <c r="FD168" s="31"/>
      <c r="FE168" s="31"/>
      <c r="FF168" s="31"/>
      <c r="FG168" s="31"/>
      <c r="FH168" s="31"/>
      <c r="FI168" s="31"/>
      <c r="FJ168" s="31"/>
      <c r="FK168" s="31"/>
      <c r="FL168" s="31"/>
      <c r="FM168" s="31"/>
      <c r="FN168" s="31"/>
      <c r="FO168" s="31"/>
      <c r="FP168" s="31"/>
      <c r="FQ168" s="31"/>
      <c r="FR168" s="31"/>
      <c r="FS168" s="31"/>
      <c r="FT168" s="31"/>
      <c r="FU168" s="31"/>
      <c r="FV168" s="31"/>
      <c r="FW168" s="31"/>
      <c r="FX168" s="31"/>
      <c r="FY168" s="31"/>
      <c r="FZ168" s="31"/>
      <c r="GA168" s="31"/>
      <c r="GB168" s="31"/>
      <c r="GC168" s="31"/>
      <c r="GD168" s="31"/>
      <c r="GE168" s="31"/>
      <c r="GF168" s="31"/>
      <c r="GG168" s="31"/>
      <c r="GH168" s="31"/>
      <c r="GI168" s="31"/>
      <c r="GJ168" s="31"/>
      <c r="GK168" s="31"/>
      <c r="GL168" s="31"/>
      <c r="GM168" s="31"/>
      <c r="GN168" s="31"/>
      <c r="GO168" s="31"/>
      <c r="GP168" s="31"/>
      <c r="GQ168" s="31"/>
      <c r="GR168" s="31"/>
      <c r="GS168" s="31"/>
      <c r="GT168" s="31"/>
      <c r="GU168" s="31"/>
      <c r="GV168" s="31"/>
      <c r="GW168" s="31"/>
      <c r="GX168" s="31"/>
      <c r="GY168" s="31"/>
      <c r="GZ168" s="31"/>
      <c r="HA168" s="31"/>
      <c r="HB168" s="31"/>
      <c r="HC168" s="31"/>
      <c r="HD168" s="31"/>
      <c r="HE168" s="31"/>
      <c r="HF168" s="31"/>
      <c r="HG168" s="31"/>
      <c r="HH168" s="31"/>
      <c r="HI168" s="31"/>
      <c r="HJ168" s="31"/>
      <c r="HK168" s="31"/>
      <c r="HL168" s="31"/>
      <c r="HM168" s="31"/>
      <c r="HN168" s="31"/>
      <c r="HO168" s="31"/>
      <c r="HP168" s="31"/>
      <c r="HQ168" s="31"/>
      <c r="HR168" s="31"/>
      <c r="HS168" s="31"/>
      <c r="HT168" s="31"/>
      <c r="HU168" s="31"/>
      <c r="HV168" s="31"/>
      <c r="HW168" s="31"/>
      <c r="HX168" s="31"/>
      <c r="HY168" s="31"/>
      <c r="HZ168" s="31"/>
    </row>
    <row r="169" spans="1:234" ht="14.25" customHeight="1" x14ac:dyDescent="0.35">
      <c r="A169" s="88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30"/>
      <c r="U169" s="27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  <c r="BS169" s="31"/>
      <c r="BT169" s="31"/>
      <c r="BU169" s="31"/>
      <c r="BV169" s="31"/>
      <c r="BW169" s="31"/>
      <c r="BX169" s="31"/>
      <c r="BY169" s="31"/>
      <c r="BZ169" s="31"/>
      <c r="CA169" s="31"/>
      <c r="CB169" s="31"/>
      <c r="CC169" s="31"/>
      <c r="CD169" s="31"/>
      <c r="CE169" s="31"/>
      <c r="CF169" s="31"/>
      <c r="CG169" s="31"/>
      <c r="CH169" s="31"/>
      <c r="CI169" s="31"/>
      <c r="CJ169" s="31"/>
      <c r="CK169" s="31"/>
      <c r="CL169" s="31"/>
      <c r="CM169" s="31"/>
      <c r="CN169" s="31"/>
      <c r="CO169" s="31"/>
      <c r="CP169" s="31"/>
      <c r="CQ169" s="31"/>
      <c r="CR169" s="31"/>
      <c r="CS169" s="31"/>
      <c r="CT169" s="31"/>
      <c r="CU169" s="31"/>
      <c r="CV169" s="31"/>
      <c r="CW169" s="31"/>
      <c r="CX169" s="31"/>
      <c r="CY169" s="31"/>
      <c r="CZ169" s="31"/>
      <c r="DA169" s="31"/>
      <c r="DB169" s="31"/>
      <c r="DC169" s="31"/>
      <c r="DD169" s="31"/>
      <c r="DE169" s="31"/>
      <c r="DF169" s="31"/>
      <c r="DG169" s="31"/>
      <c r="DH169" s="31"/>
      <c r="DI169" s="31"/>
      <c r="DJ169" s="31"/>
      <c r="DK169" s="31"/>
      <c r="DL169" s="31"/>
      <c r="DM169" s="31"/>
      <c r="DN169" s="31"/>
      <c r="DO169" s="31"/>
      <c r="DP169" s="31"/>
      <c r="DQ169" s="31"/>
      <c r="DR169" s="31"/>
      <c r="DS169" s="31"/>
      <c r="DT169" s="31"/>
      <c r="DU169" s="31"/>
      <c r="DV169" s="31"/>
      <c r="DW169" s="31"/>
      <c r="DX169" s="31"/>
      <c r="DY169" s="31"/>
      <c r="DZ169" s="31"/>
      <c r="EA169" s="31"/>
      <c r="EB169" s="31"/>
      <c r="EC169" s="31"/>
      <c r="ED169" s="31"/>
      <c r="EE169" s="31"/>
      <c r="EF169" s="31"/>
      <c r="EG169" s="31"/>
      <c r="EH169" s="31"/>
      <c r="EI169" s="31"/>
      <c r="EJ169" s="31"/>
      <c r="EK169" s="31"/>
      <c r="EL169" s="31"/>
      <c r="EM169" s="31"/>
      <c r="EN169" s="31"/>
      <c r="EO169" s="31"/>
      <c r="EP169" s="31"/>
      <c r="EQ169" s="31"/>
      <c r="ER169" s="31"/>
      <c r="ES169" s="31"/>
      <c r="ET169" s="31"/>
      <c r="EU169" s="31"/>
      <c r="EV169" s="31"/>
      <c r="EW169" s="31"/>
      <c r="EX169" s="31"/>
      <c r="EY169" s="31"/>
      <c r="EZ169" s="31"/>
      <c r="FA169" s="31"/>
      <c r="FB169" s="31"/>
      <c r="FC169" s="31"/>
      <c r="FD169" s="31"/>
      <c r="FE169" s="31"/>
      <c r="FF169" s="31"/>
      <c r="FG169" s="31"/>
      <c r="FH169" s="31"/>
      <c r="FI169" s="31"/>
      <c r="FJ169" s="31"/>
      <c r="FK169" s="31"/>
      <c r="FL169" s="31"/>
      <c r="FM169" s="31"/>
      <c r="FN169" s="31"/>
      <c r="FO169" s="31"/>
      <c r="FP169" s="31"/>
      <c r="FQ169" s="31"/>
      <c r="FR169" s="31"/>
      <c r="FS169" s="31"/>
      <c r="FT169" s="31"/>
      <c r="FU169" s="31"/>
      <c r="FV169" s="31"/>
      <c r="FW169" s="31"/>
      <c r="FX169" s="31"/>
      <c r="FY169" s="31"/>
      <c r="FZ169" s="31"/>
      <c r="GA169" s="31"/>
      <c r="GB169" s="31"/>
      <c r="GC169" s="31"/>
      <c r="GD169" s="31"/>
      <c r="GE169" s="31"/>
      <c r="GF169" s="31"/>
      <c r="GG169" s="31"/>
      <c r="GH169" s="31"/>
      <c r="GI169" s="31"/>
      <c r="GJ169" s="31"/>
      <c r="GK169" s="31"/>
      <c r="GL169" s="31"/>
      <c r="GM169" s="31"/>
      <c r="GN169" s="31"/>
      <c r="GO169" s="31"/>
      <c r="GP169" s="31"/>
      <c r="GQ169" s="31"/>
      <c r="GR169" s="31"/>
      <c r="GS169" s="31"/>
      <c r="GT169" s="31"/>
      <c r="GU169" s="31"/>
      <c r="GV169" s="31"/>
      <c r="GW169" s="31"/>
      <c r="GX169" s="31"/>
      <c r="GY169" s="31"/>
      <c r="GZ169" s="31"/>
      <c r="HA169" s="31"/>
      <c r="HB169" s="31"/>
      <c r="HC169" s="31"/>
      <c r="HD169" s="31"/>
      <c r="HE169" s="31"/>
      <c r="HF169" s="31"/>
      <c r="HG169" s="31"/>
      <c r="HH169" s="31"/>
      <c r="HI169" s="31"/>
      <c r="HJ169" s="31"/>
      <c r="HK169" s="31"/>
      <c r="HL169" s="31"/>
      <c r="HM169" s="31"/>
      <c r="HN169" s="31"/>
      <c r="HO169" s="31"/>
      <c r="HP169" s="31"/>
      <c r="HQ169" s="31"/>
      <c r="HR169" s="31"/>
      <c r="HS169" s="31"/>
      <c r="HT169" s="31"/>
      <c r="HU169" s="31"/>
      <c r="HV169" s="31"/>
      <c r="HW169" s="31"/>
      <c r="HX169" s="31"/>
      <c r="HY169" s="31"/>
      <c r="HZ169" s="31"/>
    </row>
    <row r="170" spans="1:234" ht="14.25" customHeight="1" x14ac:dyDescent="0.35">
      <c r="A170" s="88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30"/>
      <c r="U170" s="27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  <c r="BS170" s="31"/>
      <c r="BT170" s="31"/>
      <c r="BU170" s="31"/>
      <c r="BV170" s="31"/>
      <c r="BW170" s="31"/>
      <c r="BX170" s="31"/>
      <c r="BY170" s="31"/>
      <c r="BZ170" s="31"/>
      <c r="CA170" s="31"/>
      <c r="CB170" s="31"/>
      <c r="CC170" s="31"/>
      <c r="CD170" s="31"/>
      <c r="CE170" s="31"/>
      <c r="CF170" s="31"/>
      <c r="CG170" s="31"/>
      <c r="CH170" s="31"/>
      <c r="CI170" s="31"/>
      <c r="CJ170" s="31"/>
      <c r="CK170" s="31"/>
      <c r="CL170" s="31"/>
      <c r="CM170" s="31"/>
      <c r="CN170" s="31"/>
      <c r="CO170" s="31"/>
      <c r="CP170" s="31"/>
      <c r="CQ170" s="31"/>
      <c r="CR170" s="31"/>
      <c r="CS170" s="31"/>
      <c r="CT170" s="31"/>
      <c r="CU170" s="31"/>
      <c r="CV170" s="31"/>
      <c r="CW170" s="31"/>
      <c r="CX170" s="31"/>
      <c r="CY170" s="31"/>
      <c r="CZ170" s="31"/>
      <c r="DA170" s="31"/>
      <c r="DB170" s="31"/>
      <c r="DC170" s="31"/>
      <c r="DD170" s="31"/>
      <c r="DE170" s="31"/>
      <c r="DF170" s="31"/>
      <c r="DG170" s="31"/>
      <c r="DH170" s="31"/>
      <c r="DI170" s="31"/>
      <c r="DJ170" s="31"/>
      <c r="DK170" s="31"/>
      <c r="DL170" s="31"/>
      <c r="DM170" s="31"/>
      <c r="DN170" s="31"/>
      <c r="DO170" s="31"/>
      <c r="DP170" s="31"/>
      <c r="DQ170" s="31"/>
      <c r="DR170" s="31"/>
      <c r="DS170" s="31"/>
      <c r="DT170" s="31"/>
      <c r="DU170" s="31"/>
      <c r="DV170" s="31"/>
      <c r="DW170" s="31"/>
      <c r="DX170" s="31"/>
      <c r="DY170" s="31"/>
      <c r="DZ170" s="31"/>
      <c r="EA170" s="31"/>
      <c r="EB170" s="31"/>
      <c r="EC170" s="31"/>
      <c r="ED170" s="31"/>
      <c r="EE170" s="31"/>
      <c r="EF170" s="31"/>
      <c r="EG170" s="31"/>
      <c r="EH170" s="31"/>
      <c r="EI170" s="31"/>
      <c r="EJ170" s="31"/>
      <c r="EK170" s="31"/>
      <c r="EL170" s="31"/>
      <c r="EM170" s="31"/>
      <c r="EN170" s="31"/>
      <c r="EO170" s="31"/>
      <c r="EP170" s="31"/>
      <c r="EQ170" s="31"/>
      <c r="ER170" s="31"/>
      <c r="ES170" s="31"/>
      <c r="ET170" s="31"/>
      <c r="EU170" s="31"/>
      <c r="EV170" s="31"/>
      <c r="EW170" s="31"/>
      <c r="EX170" s="31"/>
      <c r="EY170" s="31"/>
      <c r="EZ170" s="31"/>
      <c r="FA170" s="31"/>
      <c r="FB170" s="31"/>
      <c r="FC170" s="31"/>
      <c r="FD170" s="31"/>
      <c r="FE170" s="31"/>
      <c r="FF170" s="31"/>
      <c r="FG170" s="31"/>
      <c r="FH170" s="31"/>
      <c r="FI170" s="31"/>
      <c r="FJ170" s="31"/>
      <c r="FK170" s="31"/>
      <c r="FL170" s="31"/>
      <c r="FM170" s="31"/>
      <c r="FN170" s="31"/>
      <c r="FO170" s="31"/>
      <c r="FP170" s="31"/>
      <c r="FQ170" s="31"/>
      <c r="FR170" s="31"/>
      <c r="FS170" s="31"/>
      <c r="FT170" s="31"/>
      <c r="FU170" s="31"/>
      <c r="FV170" s="31"/>
      <c r="FW170" s="31"/>
      <c r="FX170" s="31"/>
      <c r="FY170" s="31"/>
      <c r="FZ170" s="31"/>
      <c r="GA170" s="31"/>
      <c r="GB170" s="31"/>
      <c r="GC170" s="31"/>
      <c r="GD170" s="31"/>
      <c r="GE170" s="31"/>
      <c r="GF170" s="31"/>
      <c r="GG170" s="31"/>
      <c r="GH170" s="31"/>
      <c r="GI170" s="31"/>
      <c r="GJ170" s="31"/>
      <c r="GK170" s="31"/>
      <c r="GL170" s="31"/>
      <c r="GM170" s="31"/>
      <c r="GN170" s="31"/>
      <c r="GO170" s="31"/>
      <c r="GP170" s="31"/>
      <c r="GQ170" s="31"/>
      <c r="GR170" s="31"/>
      <c r="GS170" s="31"/>
      <c r="GT170" s="31"/>
      <c r="GU170" s="31"/>
      <c r="GV170" s="31"/>
      <c r="GW170" s="31"/>
      <c r="GX170" s="31"/>
      <c r="GY170" s="31"/>
      <c r="GZ170" s="31"/>
      <c r="HA170" s="31"/>
      <c r="HB170" s="31"/>
      <c r="HC170" s="31"/>
      <c r="HD170" s="31"/>
      <c r="HE170" s="31"/>
      <c r="HF170" s="31"/>
      <c r="HG170" s="31"/>
      <c r="HH170" s="31"/>
      <c r="HI170" s="31"/>
      <c r="HJ170" s="31"/>
      <c r="HK170" s="31"/>
      <c r="HL170" s="31"/>
      <c r="HM170" s="31"/>
      <c r="HN170" s="31"/>
      <c r="HO170" s="31"/>
      <c r="HP170" s="31"/>
      <c r="HQ170" s="31"/>
      <c r="HR170" s="31"/>
      <c r="HS170" s="31"/>
      <c r="HT170" s="31"/>
      <c r="HU170" s="31"/>
      <c r="HV170" s="31"/>
      <c r="HW170" s="31"/>
      <c r="HX170" s="31"/>
      <c r="HY170" s="31"/>
      <c r="HZ170" s="31"/>
    </row>
    <row r="171" spans="1:234" ht="14.25" customHeight="1" x14ac:dyDescent="0.35">
      <c r="A171" s="88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30"/>
      <c r="U171" s="27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  <c r="BS171" s="31"/>
      <c r="BT171" s="31"/>
      <c r="BU171" s="31"/>
      <c r="BV171" s="31"/>
      <c r="BW171" s="31"/>
      <c r="BX171" s="31"/>
      <c r="BY171" s="31"/>
      <c r="BZ171" s="31"/>
      <c r="CA171" s="31"/>
      <c r="CB171" s="31"/>
      <c r="CC171" s="31"/>
      <c r="CD171" s="31"/>
      <c r="CE171" s="31"/>
      <c r="CF171" s="31"/>
      <c r="CG171" s="31"/>
      <c r="CH171" s="31"/>
      <c r="CI171" s="31"/>
      <c r="CJ171" s="31"/>
      <c r="CK171" s="31"/>
      <c r="CL171" s="31"/>
      <c r="CM171" s="31"/>
      <c r="CN171" s="31"/>
      <c r="CO171" s="31"/>
      <c r="CP171" s="31"/>
      <c r="CQ171" s="31"/>
      <c r="CR171" s="31"/>
      <c r="CS171" s="31"/>
      <c r="CT171" s="31"/>
      <c r="CU171" s="31"/>
      <c r="CV171" s="31"/>
      <c r="CW171" s="31"/>
      <c r="CX171" s="31"/>
      <c r="CY171" s="31"/>
      <c r="CZ171" s="31"/>
      <c r="DA171" s="31"/>
      <c r="DB171" s="31"/>
      <c r="DC171" s="31"/>
      <c r="DD171" s="31"/>
      <c r="DE171" s="31"/>
      <c r="DF171" s="31"/>
      <c r="DG171" s="31"/>
      <c r="DH171" s="31"/>
      <c r="DI171" s="31"/>
      <c r="DJ171" s="31"/>
      <c r="DK171" s="31"/>
      <c r="DL171" s="31"/>
      <c r="DM171" s="31"/>
      <c r="DN171" s="31"/>
      <c r="DO171" s="31"/>
      <c r="DP171" s="31"/>
      <c r="DQ171" s="31"/>
      <c r="DR171" s="31"/>
      <c r="DS171" s="31"/>
      <c r="DT171" s="31"/>
      <c r="DU171" s="31"/>
      <c r="DV171" s="31"/>
      <c r="DW171" s="31"/>
      <c r="DX171" s="31"/>
      <c r="DY171" s="31"/>
      <c r="DZ171" s="31"/>
      <c r="EA171" s="31"/>
      <c r="EB171" s="31"/>
      <c r="EC171" s="31"/>
      <c r="ED171" s="31"/>
      <c r="EE171" s="31"/>
      <c r="EF171" s="31"/>
      <c r="EG171" s="31"/>
      <c r="EH171" s="31"/>
      <c r="EI171" s="31"/>
      <c r="EJ171" s="31"/>
      <c r="EK171" s="31"/>
      <c r="EL171" s="31"/>
      <c r="EM171" s="31"/>
      <c r="EN171" s="31"/>
      <c r="EO171" s="31"/>
      <c r="EP171" s="31"/>
      <c r="EQ171" s="31"/>
      <c r="ER171" s="31"/>
      <c r="ES171" s="31"/>
      <c r="ET171" s="31"/>
      <c r="EU171" s="31"/>
      <c r="EV171" s="31"/>
      <c r="EW171" s="31"/>
      <c r="EX171" s="31"/>
      <c r="EY171" s="31"/>
      <c r="EZ171" s="31"/>
      <c r="FA171" s="31"/>
      <c r="FB171" s="31"/>
      <c r="FC171" s="31"/>
      <c r="FD171" s="31"/>
      <c r="FE171" s="31"/>
      <c r="FF171" s="31"/>
      <c r="FG171" s="31"/>
      <c r="FH171" s="31"/>
      <c r="FI171" s="31"/>
      <c r="FJ171" s="31"/>
      <c r="FK171" s="31"/>
      <c r="FL171" s="31"/>
      <c r="FM171" s="31"/>
      <c r="FN171" s="31"/>
      <c r="FO171" s="31"/>
      <c r="FP171" s="31"/>
      <c r="FQ171" s="31"/>
      <c r="FR171" s="31"/>
      <c r="FS171" s="31"/>
      <c r="FT171" s="31"/>
      <c r="FU171" s="31"/>
      <c r="FV171" s="31"/>
      <c r="FW171" s="31"/>
      <c r="FX171" s="31"/>
      <c r="FY171" s="31"/>
      <c r="FZ171" s="31"/>
      <c r="GA171" s="31"/>
      <c r="GB171" s="31"/>
      <c r="GC171" s="31"/>
      <c r="GD171" s="31"/>
      <c r="GE171" s="31"/>
      <c r="GF171" s="31"/>
      <c r="GG171" s="31"/>
      <c r="GH171" s="31"/>
      <c r="GI171" s="31"/>
      <c r="GJ171" s="31"/>
      <c r="GK171" s="31"/>
      <c r="GL171" s="31"/>
      <c r="GM171" s="31"/>
      <c r="GN171" s="31"/>
      <c r="GO171" s="31"/>
      <c r="GP171" s="31"/>
      <c r="GQ171" s="31"/>
      <c r="GR171" s="31"/>
      <c r="GS171" s="31"/>
      <c r="GT171" s="31"/>
      <c r="GU171" s="31"/>
      <c r="GV171" s="31"/>
      <c r="GW171" s="31"/>
      <c r="GX171" s="31"/>
      <c r="GY171" s="31"/>
      <c r="GZ171" s="31"/>
      <c r="HA171" s="31"/>
      <c r="HB171" s="31"/>
      <c r="HC171" s="31"/>
      <c r="HD171" s="31"/>
      <c r="HE171" s="31"/>
      <c r="HF171" s="31"/>
      <c r="HG171" s="31"/>
      <c r="HH171" s="31"/>
      <c r="HI171" s="31"/>
      <c r="HJ171" s="31"/>
      <c r="HK171" s="31"/>
      <c r="HL171" s="31"/>
      <c r="HM171" s="31"/>
      <c r="HN171" s="31"/>
      <c r="HO171" s="31"/>
      <c r="HP171" s="31"/>
      <c r="HQ171" s="31"/>
      <c r="HR171" s="31"/>
      <c r="HS171" s="31"/>
      <c r="HT171" s="31"/>
      <c r="HU171" s="31"/>
      <c r="HV171" s="31"/>
      <c r="HW171" s="31"/>
      <c r="HX171" s="31"/>
      <c r="HY171" s="31"/>
      <c r="HZ171" s="31"/>
    </row>
    <row r="172" spans="1:234" ht="14.25" customHeight="1" x14ac:dyDescent="0.35">
      <c r="A172" s="88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30"/>
      <c r="U172" s="27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  <c r="BS172" s="31"/>
      <c r="BT172" s="31"/>
      <c r="BU172" s="31"/>
      <c r="BV172" s="31"/>
      <c r="BW172" s="31"/>
      <c r="BX172" s="31"/>
      <c r="BY172" s="31"/>
      <c r="BZ172" s="31"/>
      <c r="CA172" s="31"/>
      <c r="CB172" s="31"/>
      <c r="CC172" s="31"/>
      <c r="CD172" s="31"/>
      <c r="CE172" s="31"/>
      <c r="CF172" s="31"/>
      <c r="CG172" s="31"/>
      <c r="CH172" s="31"/>
      <c r="CI172" s="31"/>
      <c r="CJ172" s="31"/>
      <c r="CK172" s="31"/>
      <c r="CL172" s="31"/>
      <c r="CM172" s="31"/>
      <c r="CN172" s="31"/>
      <c r="CO172" s="31"/>
      <c r="CP172" s="31"/>
      <c r="CQ172" s="31"/>
      <c r="CR172" s="31"/>
      <c r="CS172" s="31"/>
      <c r="CT172" s="31"/>
      <c r="CU172" s="31"/>
      <c r="CV172" s="31"/>
      <c r="CW172" s="31"/>
      <c r="CX172" s="31"/>
      <c r="CY172" s="31"/>
      <c r="CZ172" s="31"/>
      <c r="DA172" s="31"/>
      <c r="DB172" s="31"/>
      <c r="DC172" s="31"/>
      <c r="DD172" s="31"/>
      <c r="DE172" s="31"/>
      <c r="DF172" s="31"/>
      <c r="DG172" s="31"/>
      <c r="DH172" s="31"/>
      <c r="DI172" s="31"/>
      <c r="DJ172" s="31"/>
      <c r="DK172" s="31"/>
      <c r="DL172" s="31"/>
      <c r="DM172" s="31"/>
      <c r="DN172" s="31"/>
      <c r="DO172" s="31"/>
      <c r="DP172" s="31"/>
      <c r="DQ172" s="31"/>
      <c r="DR172" s="31"/>
      <c r="DS172" s="31"/>
      <c r="DT172" s="31"/>
      <c r="DU172" s="31"/>
      <c r="DV172" s="31"/>
      <c r="DW172" s="31"/>
      <c r="DX172" s="31"/>
      <c r="DY172" s="31"/>
      <c r="DZ172" s="31"/>
      <c r="EA172" s="31"/>
      <c r="EB172" s="31"/>
      <c r="EC172" s="31"/>
      <c r="ED172" s="31"/>
      <c r="EE172" s="31"/>
      <c r="EF172" s="31"/>
      <c r="EG172" s="31"/>
      <c r="EH172" s="31"/>
      <c r="EI172" s="31"/>
      <c r="EJ172" s="31"/>
      <c r="EK172" s="31"/>
      <c r="EL172" s="31"/>
      <c r="EM172" s="31"/>
      <c r="EN172" s="31"/>
      <c r="EO172" s="31"/>
      <c r="EP172" s="31"/>
      <c r="EQ172" s="31"/>
      <c r="ER172" s="31"/>
      <c r="ES172" s="31"/>
      <c r="ET172" s="31"/>
      <c r="EU172" s="31"/>
      <c r="EV172" s="31"/>
      <c r="EW172" s="31"/>
      <c r="EX172" s="31"/>
      <c r="EY172" s="31"/>
      <c r="EZ172" s="31"/>
      <c r="FA172" s="31"/>
      <c r="FB172" s="31"/>
      <c r="FC172" s="31"/>
      <c r="FD172" s="31"/>
      <c r="FE172" s="31"/>
      <c r="FF172" s="31"/>
      <c r="FG172" s="31"/>
      <c r="FH172" s="31"/>
      <c r="FI172" s="31"/>
      <c r="FJ172" s="31"/>
      <c r="FK172" s="31"/>
      <c r="FL172" s="31"/>
      <c r="FM172" s="31"/>
      <c r="FN172" s="31"/>
      <c r="FO172" s="31"/>
      <c r="FP172" s="31"/>
      <c r="FQ172" s="31"/>
      <c r="FR172" s="31"/>
      <c r="FS172" s="31"/>
      <c r="FT172" s="31"/>
      <c r="FU172" s="31"/>
      <c r="FV172" s="31"/>
      <c r="FW172" s="31"/>
      <c r="FX172" s="31"/>
      <c r="FY172" s="31"/>
      <c r="FZ172" s="31"/>
      <c r="GA172" s="31"/>
      <c r="GB172" s="31"/>
      <c r="GC172" s="31"/>
      <c r="GD172" s="31"/>
      <c r="GE172" s="31"/>
      <c r="GF172" s="31"/>
      <c r="GG172" s="31"/>
      <c r="GH172" s="31"/>
      <c r="GI172" s="31"/>
      <c r="GJ172" s="31"/>
      <c r="GK172" s="31"/>
      <c r="GL172" s="31"/>
      <c r="GM172" s="31"/>
      <c r="GN172" s="31"/>
      <c r="GO172" s="31"/>
      <c r="GP172" s="31"/>
      <c r="GQ172" s="31"/>
      <c r="GR172" s="31"/>
      <c r="GS172" s="31"/>
      <c r="GT172" s="31"/>
      <c r="GU172" s="31"/>
      <c r="GV172" s="31"/>
      <c r="GW172" s="31"/>
      <c r="GX172" s="31"/>
      <c r="GY172" s="31"/>
      <c r="GZ172" s="31"/>
      <c r="HA172" s="31"/>
      <c r="HB172" s="31"/>
      <c r="HC172" s="31"/>
      <c r="HD172" s="31"/>
      <c r="HE172" s="31"/>
      <c r="HF172" s="31"/>
      <c r="HG172" s="31"/>
      <c r="HH172" s="31"/>
      <c r="HI172" s="31"/>
      <c r="HJ172" s="31"/>
      <c r="HK172" s="31"/>
      <c r="HL172" s="31"/>
      <c r="HM172" s="31"/>
      <c r="HN172" s="31"/>
      <c r="HO172" s="31"/>
      <c r="HP172" s="31"/>
      <c r="HQ172" s="31"/>
      <c r="HR172" s="31"/>
      <c r="HS172" s="31"/>
      <c r="HT172" s="31"/>
      <c r="HU172" s="31"/>
      <c r="HV172" s="31"/>
      <c r="HW172" s="31"/>
      <c r="HX172" s="31"/>
      <c r="HY172" s="31"/>
      <c r="HZ172" s="31"/>
    </row>
    <row r="173" spans="1:234" ht="14.25" customHeight="1" x14ac:dyDescent="0.35">
      <c r="A173" s="88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30"/>
      <c r="U173" s="27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  <c r="BS173" s="31"/>
      <c r="BT173" s="31"/>
      <c r="BU173" s="31"/>
      <c r="BV173" s="31"/>
      <c r="BW173" s="31"/>
      <c r="BX173" s="31"/>
      <c r="BY173" s="31"/>
      <c r="BZ173" s="31"/>
      <c r="CA173" s="31"/>
      <c r="CB173" s="31"/>
      <c r="CC173" s="31"/>
      <c r="CD173" s="31"/>
      <c r="CE173" s="31"/>
      <c r="CF173" s="31"/>
      <c r="CG173" s="31"/>
      <c r="CH173" s="31"/>
      <c r="CI173" s="31"/>
      <c r="CJ173" s="31"/>
      <c r="CK173" s="31"/>
      <c r="CL173" s="31"/>
      <c r="CM173" s="31"/>
      <c r="CN173" s="31"/>
      <c r="CO173" s="31"/>
      <c r="CP173" s="31"/>
      <c r="CQ173" s="31"/>
      <c r="CR173" s="31"/>
      <c r="CS173" s="31"/>
      <c r="CT173" s="31"/>
      <c r="CU173" s="31"/>
      <c r="CV173" s="31"/>
      <c r="CW173" s="31"/>
      <c r="CX173" s="31"/>
      <c r="CY173" s="31"/>
      <c r="CZ173" s="31"/>
      <c r="DA173" s="31"/>
      <c r="DB173" s="31"/>
      <c r="DC173" s="31"/>
      <c r="DD173" s="31"/>
      <c r="DE173" s="31"/>
      <c r="DF173" s="31"/>
      <c r="DG173" s="31"/>
      <c r="DH173" s="31"/>
      <c r="DI173" s="31"/>
      <c r="DJ173" s="31"/>
      <c r="DK173" s="31"/>
      <c r="DL173" s="31"/>
      <c r="DM173" s="31"/>
      <c r="DN173" s="31"/>
      <c r="DO173" s="31"/>
      <c r="DP173" s="31"/>
      <c r="DQ173" s="31"/>
      <c r="DR173" s="31"/>
      <c r="DS173" s="31"/>
      <c r="DT173" s="31"/>
      <c r="DU173" s="31"/>
      <c r="DV173" s="31"/>
      <c r="DW173" s="31"/>
      <c r="DX173" s="31"/>
      <c r="DY173" s="31"/>
      <c r="DZ173" s="31"/>
      <c r="EA173" s="31"/>
      <c r="EB173" s="31"/>
      <c r="EC173" s="31"/>
      <c r="ED173" s="31"/>
      <c r="EE173" s="31"/>
      <c r="EF173" s="31"/>
      <c r="EG173" s="31"/>
      <c r="EH173" s="31"/>
      <c r="EI173" s="31"/>
      <c r="EJ173" s="31"/>
      <c r="EK173" s="31"/>
      <c r="EL173" s="31"/>
      <c r="EM173" s="31"/>
      <c r="EN173" s="31"/>
      <c r="EO173" s="31"/>
      <c r="EP173" s="31"/>
      <c r="EQ173" s="31"/>
      <c r="ER173" s="31"/>
      <c r="ES173" s="31"/>
      <c r="ET173" s="31"/>
      <c r="EU173" s="31"/>
      <c r="EV173" s="31"/>
      <c r="EW173" s="31"/>
      <c r="EX173" s="31"/>
      <c r="EY173" s="31"/>
      <c r="EZ173" s="31"/>
      <c r="FA173" s="31"/>
      <c r="FB173" s="31"/>
      <c r="FC173" s="31"/>
      <c r="FD173" s="31"/>
      <c r="FE173" s="31"/>
      <c r="FF173" s="31"/>
      <c r="FG173" s="31"/>
      <c r="FH173" s="31"/>
      <c r="FI173" s="31"/>
      <c r="FJ173" s="31"/>
      <c r="FK173" s="31"/>
      <c r="FL173" s="31"/>
      <c r="FM173" s="31"/>
      <c r="FN173" s="31"/>
      <c r="FO173" s="31"/>
      <c r="FP173" s="31"/>
      <c r="FQ173" s="31"/>
      <c r="FR173" s="31"/>
      <c r="FS173" s="31"/>
      <c r="FT173" s="31"/>
      <c r="FU173" s="31"/>
      <c r="FV173" s="31"/>
      <c r="FW173" s="31"/>
      <c r="FX173" s="31"/>
      <c r="FY173" s="31"/>
      <c r="FZ173" s="31"/>
      <c r="GA173" s="31"/>
      <c r="GB173" s="31"/>
      <c r="GC173" s="31"/>
      <c r="GD173" s="31"/>
      <c r="GE173" s="31"/>
      <c r="GF173" s="31"/>
      <c r="GG173" s="31"/>
      <c r="GH173" s="31"/>
      <c r="GI173" s="31"/>
      <c r="GJ173" s="31"/>
      <c r="GK173" s="31"/>
      <c r="GL173" s="31"/>
      <c r="GM173" s="31"/>
      <c r="GN173" s="31"/>
      <c r="GO173" s="31"/>
      <c r="GP173" s="31"/>
      <c r="GQ173" s="31"/>
      <c r="GR173" s="31"/>
      <c r="GS173" s="31"/>
      <c r="GT173" s="31"/>
      <c r="GU173" s="31"/>
      <c r="GV173" s="31"/>
      <c r="GW173" s="31"/>
      <c r="GX173" s="31"/>
      <c r="GY173" s="31"/>
      <c r="GZ173" s="31"/>
      <c r="HA173" s="31"/>
      <c r="HB173" s="31"/>
      <c r="HC173" s="31"/>
      <c r="HD173" s="31"/>
      <c r="HE173" s="31"/>
      <c r="HF173" s="31"/>
      <c r="HG173" s="31"/>
      <c r="HH173" s="31"/>
      <c r="HI173" s="31"/>
      <c r="HJ173" s="31"/>
      <c r="HK173" s="31"/>
      <c r="HL173" s="31"/>
      <c r="HM173" s="31"/>
      <c r="HN173" s="31"/>
      <c r="HO173" s="31"/>
      <c r="HP173" s="31"/>
      <c r="HQ173" s="31"/>
      <c r="HR173" s="31"/>
      <c r="HS173" s="31"/>
      <c r="HT173" s="31"/>
      <c r="HU173" s="31"/>
      <c r="HV173" s="31"/>
      <c r="HW173" s="31"/>
      <c r="HX173" s="31"/>
      <c r="HY173" s="31"/>
      <c r="HZ173" s="31"/>
    </row>
    <row r="174" spans="1:234" ht="14.25" customHeight="1" x14ac:dyDescent="0.35">
      <c r="A174" s="88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30"/>
      <c r="U174" s="27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  <c r="BS174" s="31"/>
      <c r="BT174" s="31"/>
      <c r="BU174" s="31"/>
      <c r="BV174" s="31"/>
      <c r="BW174" s="31"/>
      <c r="BX174" s="31"/>
      <c r="BY174" s="31"/>
      <c r="BZ174" s="31"/>
      <c r="CA174" s="31"/>
      <c r="CB174" s="31"/>
      <c r="CC174" s="31"/>
      <c r="CD174" s="31"/>
      <c r="CE174" s="31"/>
      <c r="CF174" s="31"/>
      <c r="CG174" s="31"/>
      <c r="CH174" s="31"/>
      <c r="CI174" s="31"/>
      <c r="CJ174" s="31"/>
      <c r="CK174" s="31"/>
      <c r="CL174" s="31"/>
      <c r="CM174" s="31"/>
      <c r="CN174" s="31"/>
      <c r="CO174" s="31"/>
      <c r="CP174" s="31"/>
      <c r="CQ174" s="31"/>
      <c r="CR174" s="31"/>
      <c r="CS174" s="31"/>
      <c r="CT174" s="31"/>
      <c r="CU174" s="31"/>
      <c r="CV174" s="31"/>
      <c r="CW174" s="31"/>
      <c r="CX174" s="31"/>
      <c r="CY174" s="31"/>
      <c r="CZ174" s="31"/>
      <c r="DA174" s="31"/>
      <c r="DB174" s="31"/>
      <c r="DC174" s="31"/>
      <c r="DD174" s="31"/>
      <c r="DE174" s="31"/>
      <c r="DF174" s="31"/>
      <c r="DG174" s="31"/>
      <c r="DH174" s="31"/>
      <c r="DI174" s="31"/>
      <c r="DJ174" s="31"/>
      <c r="DK174" s="31"/>
      <c r="DL174" s="31"/>
      <c r="DM174" s="31"/>
      <c r="DN174" s="31"/>
      <c r="DO174" s="31"/>
      <c r="DP174" s="31"/>
      <c r="DQ174" s="31"/>
      <c r="DR174" s="31"/>
      <c r="DS174" s="31"/>
      <c r="DT174" s="31"/>
      <c r="DU174" s="31"/>
      <c r="DV174" s="31"/>
      <c r="DW174" s="31"/>
      <c r="DX174" s="31"/>
      <c r="DY174" s="31"/>
      <c r="DZ174" s="31"/>
      <c r="EA174" s="31"/>
      <c r="EB174" s="31"/>
      <c r="EC174" s="31"/>
      <c r="ED174" s="31"/>
      <c r="EE174" s="31"/>
      <c r="EF174" s="31"/>
      <c r="EG174" s="31"/>
      <c r="EH174" s="31"/>
      <c r="EI174" s="31"/>
      <c r="EJ174" s="31"/>
      <c r="EK174" s="31"/>
      <c r="EL174" s="31"/>
      <c r="EM174" s="31"/>
      <c r="EN174" s="31"/>
      <c r="EO174" s="31"/>
      <c r="EP174" s="31"/>
      <c r="EQ174" s="31"/>
      <c r="ER174" s="31"/>
      <c r="ES174" s="31"/>
      <c r="ET174" s="31"/>
      <c r="EU174" s="31"/>
      <c r="EV174" s="31"/>
      <c r="EW174" s="31"/>
      <c r="EX174" s="31"/>
      <c r="EY174" s="31"/>
      <c r="EZ174" s="31"/>
      <c r="FA174" s="31"/>
      <c r="FB174" s="31"/>
      <c r="FC174" s="31"/>
      <c r="FD174" s="31"/>
      <c r="FE174" s="31"/>
      <c r="FF174" s="31"/>
      <c r="FG174" s="31"/>
      <c r="FH174" s="31"/>
      <c r="FI174" s="31"/>
      <c r="FJ174" s="31"/>
      <c r="FK174" s="31"/>
      <c r="FL174" s="31"/>
      <c r="FM174" s="31"/>
      <c r="FN174" s="31"/>
      <c r="FO174" s="31"/>
      <c r="FP174" s="31"/>
      <c r="FQ174" s="31"/>
      <c r="FR174" s="31"/>
      <c r="FS174" s="31"/>
      <c r="FT174" s="31"/>
      <c r="FU174" s="31"/>
      <c r="FV174" s="31"/>
      <c r="FW174" s="31"/>
      <c r="FX174" s="31"/>
      <c r="FY174" s="31"/>
      <c r="FZ174" s="31"/>
      <c r="GA174" s="31"/>
      <c r="GB174" s="31"/>
      <c r="GC174" s="31"/>
      <c r="GD174" s="31"/>
      <c r="GE174" s="31"/>
      <c r="GF174" s="31"/>
      <c r="GG174" s="31"/>
      <c r="GH174" s="31"/>
      <c r="GI174" s="31"/>
      <c r="GJ174" s="31"/>
      <c r="GK174" s="31"/>
      <c r="GL174" s="31"/>
      <c r="GM174" s="31"/>
      <c r="GN174" s="31"/>
      <c r="GO174" s="31"/>
      <c r="GP174" s="31"/>
      <c r="GQ174" s="31"/>
      <c r="GR174" s="31"/>
      <c r="GS174" s="31"/>
      <c r="GT174" s="31"/>
      <c r="GU174" s="31"/>
      <c r="GV174" s="31"/>
      <c r="GW174" s="31"/>
      <c r="GX174" s="31"/>
      <c r="GY174" s="31"/>
      <c r="GZ174" s="31"/>
      <c r="HA174" s="31"/>
      <c r="HB174" s="31"/>
      <c r="HC174" s="31"/>
      <c r="HD174" s="31"/>
      <c r="HE174" s="31"/>
      <c r="HF174" s="31"/>
      <c r="HG174" s="31"/>
      <c r="HH174" s="31"/>
      <c r="HI174" s="31"/>
      <c r="HJ174" s="31"/>
      <c r="HK174" s="31"/>
      <c r="HL174" s="31"/>
      <c r="HM174" s="31"/>
      <c r="HN174" s="31"/>
      <c r="HO174" s="31"/>
      <c r="HP174" s="31"/>
      <c r="HQ174" s="31"/>
      <c r="HR174" s="31"/>
      <c r="HS174" s="31"/>
      <c r="HT174" s="31"/>
      <c r="HU174" s="31"/>
      <c r="HV174" s="31"/>
      <c r="HW174" s="31"/>
      <c r="HX174" s="31"/>
      <c r="HY174" s="31"/>
      <c r="HZ174" s="31"/>
    </row>
    <row r="175" spans="1:234" ht="14.25" customHeight="1" x14ac:dyDescent="0.35">
      <c r="A175" s="88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30"/>
      <c r="U175" s="27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  <c r="BS175" s="31"/>
      <c r="BT175" s="31"/>
      <c r="BU175" s="31"/>
      <c r="BV175" s="31"/>
      <c r="BW175" s="31"/>
      <c r="BX175" s="31"/>
      <c r="BY175" s="31"/>
      <c r="BZ175" s="31"/>
      <c r="CA175" s="31"/>
      <c r="CB175" s="31"/>
      <c r="CC175" s="31"/>
      <c r="CD175" s="31"/>
      <c r="CE175" s="31"/>
      <c r="CF175" s="31"/>
      <c r="CG175" s="31"/>
      <c r="CH175" s="31"/>
      <c r="CI175" s="31"/>
      <c r="CJ175" s="31"/>
      <c r="CK175" s="31"/>
      <c r="CL175" s="31"/>
      <c r="CM175" s="31"/>
      <c r="CN175" s="31"/>
      <c r="CO175" s="31"/>
      <c r="CP175" s="31"/>
      <c r="CQ175" s="31"/>
      <c r="CR175" s="31"/>
      <c r="CS175" s="31"/>
      <c r="CT175" s="31"/>
      <c r="CU175" s="31"/>
      <c r="CV175" s="31"/>
      <c r="CW175" s="31"/>
      <c r="CX175" s="31"/>
      <c r="CY175" s="31"/>
      <c r="CZ175" s="31"/>
      <c r="DA175" s="31"/>
      <c r="DB175" s="31"/>
      <c r="DC175" s="31"/>
      <c r="DD175" s="31"/>
      <c r="DE175" s="31"/>
      <c r="DF175" s="31"/>
      <c r="DG175" s="31"/>
      <c r="DH175" s="31"/>
      <c r="DI175" s="31"/>
      <c r="DJ175" s="31"/>
      <c r="DK175" s="31"/>
      <c r="DL175" s="31"/>
      <c r="DM175" s="31"/>
      <c r="DN175" s="31"/>
      <c r="DO175" s="31"/>
      <c r="DP175" s="31"/>
      <c r="DQ175" s="31"/>
      <c r="DR175" s="31"/>
      <c r="DS175" s="31"/>
      <c r="DT175" s="31"/>
      <c r="DU175" s="31"/>
      <c r="DV175" s="31"/>
      <c r="DW175" s="31"/>
      <c r="DX175" s="31"/>
      <c r="DY175" s="31"/>
      <c r="DZ175" s="31"/>
      <c r="EA175" s="31"/>
      <c r="EB175" s="31"/>
      <c r="EC175" s="31"/>
      <c r="ED175" s="31"/>
      <c r="EE175" s="31"/>
      <c r="EF175" s="31"/>
      <c r="EG175" s="31"/>
      <c r="EH175" s="31"/>
      <c r="EI175" s="31"/>
      <c r="EJ175" s="31"/>
      <c r="EK175" s="31"/>
      <c r="EL175" s="31"/>
      <c r="EM175" s="31"/>
      <c r="EN175" s="31"/>
      <c r="EO175" s="31"/>
      <c r="EP175" s="31"/>
      <c r="EQ175" s="31"/>
      <c r="ER175" s="31"/>
      <c r="ES175" s="31"/>
      <c r="ET175" s="31"/>
      <c r="EU175" s="31"/>
      <c r="EV175" s="31"/>
      <c r="EW175" s="31"/>
      <c r="EX175" s="31"/>
      <c r="EY175" s="31"/>
      <c r="EZ175" s="31"/>
      <c r="FA175" s="31"/>
      <c r="FB175" s="31"/>
      <c r="FC175" s="31"/>
      <c r="FD175" s="31"/>
      <c r="FE175" s="31"/>
      <c r="FF175" s="31"/>
      <c r="FG175" s="31"/>
      <c r="FH175" s="31"/>
      <c r="FI175" s="31"/>
      <c r="FJ175" s="31"/>
      <c r="FK175" s="31"/>
      <c r="FL175" s="31"/>
      <c r="FM175" s="31"/>
      <c r="FN175" s="31"/>
      <c r="FO175" s="31"/>
      <c r="FP175" s="31"/>
      <c r="FQ175" s="31"/>
      <c r="FR175" s="31"/>
      <c r="FS175" s="31"/>
      <c r="FT175" s="31"/>
      <c r="FU175" s="31"/>
      <c r="FV175" s="31"/>
      <c r="FW175" s="31"/>
      <c r="FX175" s="31"/>
      <c r="FY175" s="31"/>
      <c r="FZ175" s="31"/>
      <c r="GA175" s="31"/>
      <c r="GB175" s="31"/>
      <c r="GC175" s="31"/>
      <c r="GD175" s="31"/>
      <c r="GE175" s="31"/>
      <c r="GF175" s="31"/>
      <c r="GG175" s="31"/>
      <c r="GH175" s="31"/>
      <c r="GI175" s="31"/>
      <c r="GJ175" s="31"/>
      <c r="GK175" s="31"/>
      <c r="GL175" s="31"/>
      <c r="GM175" s="31"/>
      <c r="GN175" s="31"/>
      <c r="GO175" s="31"/>
      <c r="GP175" s="31"/>
      <c r="GQ175" s="31"/>
      <c r="GR175" s="31"/>
      <c r="GS175" s="31"/>
      <c r="GT175" s="31"/>
      <c r="GU175" s="31"/>
      <c r="GV175" s="31"/>
      <c r="GW175" s="31"/>
      <c r="GX175" s="31"/>
      <c r="GY175" s="31"/>
      <c r="GZ175" s="31"/>
      <c r="HA175" s="31"/>
      <c r="HB175" s="31"/>
      <c r="HC175" s="31"/>
      <c r="HD175" s="31"/>
      <c r="HE175" s="31"/>
      <c r="HF175" s="31"/>
      <c r="HG175" s="31"/>
      <c r="HH175" s="31"/>
      <c r="HI175" s="31"/>
      <c r="HJ175" s="31"/>
      <c r="HK175" s="31"/>
      <c r="HL175" s="31"/>
      <c r="HM175" s="31"/>
      <c r="HN175" s="31"/>
      <c r="HO175" s="31"/>
      <c r="HP175" s="31"/>
      <c r="HQ175" s="31"/>
      <c r="HR175" s="31"/>
      <c r="HS175" s="31"/>
      <c r="HT175" s="31"/>
      <c r="HU175" s="31"/>
      <c r="HV175" s="31"/>
      <c r="HW175" s="31"/>
      <c r="HX175" s="31"/>
      <c r="HY175" s="31"/>
      <c r="HZ175" s="31"/>
    </row>
    <row r="176" spans="1:234" ht="14.25" customHeight="1" x14ac:dyDescent="0.35">
      <c r="A176" s="88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30"/>
      <c r="U176" s="27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  <c r="BS176" s="31"/>
      <c r="BT176" s="31"/>
      <c r="BU176" s="31"/>
      <c r="BV176" s="31"/>
      <c r="BW176" s="31"/>
      <c r="BX176" s="31"/>
      <c r="BY176" s="31"/>
      <c r="BZ176" s="31"/>
      <c r="CA176" s="31"/>
      <c r="CB176" s="31"/>
      <c r="CC176" s="31"/>
      <c r="CD176" s="31"/>
      <c r="CE176" s="31"/>
      <c r="CF176" s="31"/>
      <c r="CG176" s="31"/>
      <c r="CH176" s="31"/>
      <c r="CI176" s="31"/>
      <c r="CJ176" s="31"/>
      <c r="CK176" s="31"/>
      <c r="CL176" s="31"/>
      <c r="CM176" s="31"/>
      <c r="CN176" s="31"/>
      <c r="CO176" s="31"/>
      <c r="CP176" s="31"/>
      <c r="CQ176" s="31"/>
      <c r="CR176" s="31"/>
      <c r="CS176" s="31"/>
      <c r="CT176" s="31"/>
      <c r="CU176" s="31"/>
      <c r="CV176" s="31"/>
      <c r="CW176" s="31"/>
      <c r="CX176" s="31"/>
      <c r="CY176" s="31"/>
      <c r="CZ176" s="31"/>
      <c r="DA176" s="31"/>
      <c r="DB176" s="31"/>
      <c r="DC176" s="31"/>
      <c r="DD176" s="31"/>
      <c r="DE176" s="31"/>
      <c r="DF176" s="31"/>
      <c r="DG176" s="31"/>
      <c r="DH176" s="31"/>
      <c r="DI176" s="31"/>
      <c r="DJ176" s="31"/>
      <c r="DK176" s="31"/>
      <c r="DL176" s="31"/>
      <c r="DM176" s="31"/>
      <c r="DN176" s="31"/>
      <c r="DO176" s="31"/>
      <c r="DP176" s="31"/>
      <c r="DQ176" s="31"/>
      <c r="DR176" s="31"/>
      <c r="DS176" s="31"/>
      <c r="DT176" s="31"/>
      <c r="DU176" s="31"/>
      <c r="DV176" s="31"/>
      <c r="DW176" s="31"/>
      <c r="DX176" s="31"/>
      <c r="DY176" s="31"/>
      <c r="DZ176" s="31"/>
      <c r="EA176" s="31"/>
      <c r="EB176" s="31"/>
      <c r="EC176" s="31"/>
      <c r="ED176" s="31"/>
      <c r="EE176" s="31"/>
      <c r="EF176" s="31"/>
      <c r="EG176" s="31"/>
      <c r="EH176" s="31"/>
      <c r="EI176" s="31"/>
      <c r="EJ176" s="31"/>
      <c r="EK176" s="31"/>
      <c r="EL176" s="31"/>
      <c r="EM176" s="31"/>
      <c r="EN176" s="31"/>
      <c r="EO176" s="31"/>
      <c r="EP176" s="31"/>
      <c r="EQ176" s="31"/>
      <c r="ER176" s="31"/>
      <c r="ES176" s="31"/>
      <c r="ET176" s="31"/>
      <c r="EU176" s="31"/>
      <c r="EV176" s="31"/>
      <c r="EW176" s="31"/>
      <c r="EX176" s="31"/>
      <c r="EY176" s="31"/>
      <c r="EZ176" s="31"/>
      <c r="FA176" s="31"/>
      <c r="FB176" s="31"/>
      <c r="FC176" s="31"/>
      <c r="FD176" s="31"/>
      <c r="FE176" s="31"/>
      <c r="FF176" s="31"/>
      <c r="FG176" s="31"/>
      <c r="FH176" s="31"/>
      <c r="FI176" s="31"/>
      <c r="FJ176" s="31"/>
      <c r="FK176" s="31"/>
      <c r="FL176" s="31"/>
      <c r="FM176" s="31"/>
      <c r="FN176" s="31"/>
      <c r="FO176" s="31"/>
      <c r="FP176" s="31"/>
      <c r="FQ176" s="31"/>
      <c r="FR176" s="31"/>
      <c r="FS176" s="31"/>
      <c r="FT176" s="31"/>
      <c r="FU176" s="31"/>
      <c r="FV176" s="31"/>
      <c r="FW176" s="31"/>
      <c r="FX176" s="31"/>
      <c r="FY176" s="31"/>
      <c r="FZ176" s="31"/>
      <c r="GA176" s="31"/>
      <c r="GB176" s="31"/>
      <c r="GC176" s="31"/>
      <c r="GD176" s="31"/>
      <c r="GE176" s="31"/>
      <c r="GF176" s="31"/>
      <c r="GG176" s="31"/>
      <c r="GH176" s="31"/>
      <c r="GI176" s="31"/>
      <c r="GJ176" s="31"/>
      <c r="GK176" s="31"/>
      <c r="GL176" s="31"/>
      <c r="GM176" s="31"/>
      <c r="GN176" s="31"/>
      <c r="GO176" s="31"/>
      <c r="GP176" s="31"/>
      <c r="GQ176" s="31"/>
      <c r="GR176" s="31"/>
      <c r="GS176" s="31"/>
      <c r="GT176" s="31"/>
      <c r="GU176" s="31"/>
      <c r="GV176" s="31"/>
      <c r="GW176" s="31"/>
      <c r="GX176" s="31"/>
      <c r="GY176" s="31"/>
      <c r="GZ176" s="31"/>
      <c r="HA176" s="31"/>
      <c r="HB176" s="31"/>
      <c r="HC176" s="31"/>
      <c r="HD176" s="31"/>
      <c r="HE176" s="31"/>
      <c r="HF176" s="31"/>
      <c r="HG176" s="31"/>
      <c r="HH176" s="31"/>
      <c r="HI176" s="31"/>
      <c r="HJ176" s="31"/>
      <c r="HK176" s="31"/>
      <c r="HL176" s="31"/>
      <c r="HM176" s="31"/>
      <c r="HN176" s="31"/>
      <c r="HO176" s="31"/>
      <c r="HP176" s="31"/>
      <c r="HQ176" s="31"/>
      <c r="HR176" s="31"/>
      <c r="HS176" s="31"/>
      <c r="HT176" s="31"/>
      <c r="HU176" s="31"/>
      <c r="HV176" s="31"/>
      <c r="HW176" s="31"/>
      <c r="HX176" s="31"/>
      <c r="HY176" s="31"/>
      <c r="HZ176" s="31"/>
    </row>
    <row r="177" spans="1:234" ht="14.25" customHeight="1" x14ac:dyDescent="0.35">
      <c r="A177" s="88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30"/>
      <c r="U177" s="27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  <c r="BS177" s="31"/>
      <c r="BT177" s="31"/>
      <c r="BU177" s="31"/>
      <c r="BV177" s="31"/>
      <c r="BW177" s="31"/>
      <c r="BX177" s="31"/>
      <c r="BY177" s="31"/>
      <c r="BZ177" s="31"/>
      <c r="CA177" s="31"/>
      <c r="CB177" s="31"/>
      <c r="CC177" s="31"/>
      <c r="CD177" s="31"/>
      <c r="CE177" s="31"/>
      <c r="CF177" s="31"/>
      <c r="CG177" s="31"/>
      <c r="CH177" s="31"/>
      <c r="CI177" s="31"/>
      <c r="CJ177" s="31"/>
      <c r="CK177" s="31"/>
      <c r="CL177" s="31"/>
      <c r="CM177" s="31"/>
      <c r="CN177" s="31"/>
      <c r="CO177" s="31"/>
      <c r="CP177" s="31"/>
      <c r="CQ177" s="31"/>
      <c r="CR177" s="31"/>
      <c r="CS177" s="31"/>
      <c r="CT177" s="31"/>
      <c r="CU177" s="31"/>
      <c r="CV177" s="31"/>
      <c r="CW177" s="31"/>
      <c r="CX177" s="31"/>
      <c r="CY177" s="31"/>
      <c r="CZ177" s="31"/>
      <c r="DA177" s="31"/>
      <c r="DB177" s="31"/>
      <c r="DC177" s="31"/>
      <c r="DD177" s="31"/>
      <c r="DE177" s="31"/>
      <c r="DF177" s="31"/>
      <c r="DG177" s="31"/>
      <c r="DH177" s="31"/>
      <c r="DI177" s="31"/>
      <c r="DJ177" s="31"/>
      <c r="DK177" s="31"/>
      <c r="DL177" s="31"/>
      <c r="DM177" s="31"/>
      <c r="DN177" s="31"/>
      <c r="DO177" s="31"/>
      <c r="DP177" s="31"/>
      <c r="DQ177" s="31"/>
      <c r="DR177" s="31"/>
      <c r="DS177" s="31"/>
      <c r="DT177" s="31"/>
      <c r="DU177" s="31"/>
      <c r="DV177" s="31"/>
      <c r="DW177" s="31"/>
      <c r="DX177" s="31"/>
      <c r="DY177" s="31"/>
      <c r="DZ177" s="31"/>
      <c r="EA177" s="31"/>
      <c r="EB177" s="31"/>
      <c r="EC177" s="31"/>
      <c r="ED177" s="31"/>
      <c r="EE177" s="31"/>
      <c r="EF177" s="31"/>
      <c r="EG177" s="31"/>
      <c r="EH177" s="31"/>
      <c r="EI177" s="31"/>
      <c r="EJ177" s="31"/>
      <c r="EK177" s="31"/>
      <c r="EL177" s="31"/>
      <c r="EM177" s="31"/>
      <c r="EN177" s="31"/>
      <c r="EO177" s="31"/>
      <c r="EP177" s="31"/>
      <c r="EQ177" s="31"/>
      <c r="ER177" s="31"/>
      <c r="ES177" s="31"/>
      <c r="ET177" s="31"/>
      <c r="EU177" s="31"/>
      <c r="EV177" s="31"/>
      <c r="EW177" s="31"/>
      <c r="EX177" s="31"/>
      <c r="EY177" s="31"/>
      <c r="EZ177" s="31"/>
      <c r="FA177" s="31"/>
      <c r="FB177" s="31"/>
      <c r="FC177" s="31"/>
      <c r="FD177" s="31"/>
      <c r="FE177" s="31"/>
      <c r="FF177" s="31"/>
      <c r="FG177" s="31"/>
      <c r="FH177" s="31"/>
      <c r="FI177" s="31"/>
      <c r="FJ177" s="31"/>
      <c r="FK177" s="31"/>
      <c r="FL177" s="31"/>
      <c r="FM177" s="31"/>
      <c r="FN177" s="31"/>
      <c r="FO177" s="31"/>
      <c r="FP177" s="31"/>
      <c r="FQ177" s="31"/>
      <c r="FR177" s="31"/>
      <c r="FS177" s="31"/>
      <c r="FT177" s="31"/>
      <c r="FU177" s="31"/>
      <c r="FV177" s="31"/>
      <c r="FW177" s="31"/>
      <c r="FX177" s="31"/>
      <c r="FY177" s="31"/>
      <c r="FZ177" s="31"/>
      <c r="GA177" s="31"/>
      <c r="GB177" s="31"/>
      <c r="GC177" s="31"/>
      <c r="GD177" s="31"/>
      <c r="GE177" s="31"/>
      <c r="GF177" s="31"/>
      <c r="GG177" s="31"/>
      <c r="GH177" s="31"/>
      <c r="GI177" s="31"/>
      <c r="GJ177" s="31"/>
      <c r="GK177" s="31"/>
      <c r="GL177" s="31"/>
      <c r="GM177" s="31"/>
      <c r="GN177" s="31"/>
      <c r="GO177" s="31"/>
      <c r="GP177" s="31"/>
      <c r="GQ177" s="31"/>
      <c r="GR177" s="31"/>
      <c r="GS177" s="31"/>
      <c r="GT177" s="31"/>
      <c r="GU177" s="31"/>
      <c r="GV177" s="31"/>
      <c r="GW177" s="31"/>
      <c r="GX177" s="31"/>
      <c r="GY177" s="31"/>
      <c r="GZ177" s="31"/>
      <c r="HA177" s="31"/>
      <c r="HB177" s="31"/>
      <c r="HC177" s="31"/>
      <c r="HD177" s="31"/>
      <c r="HE177" s="31"/>
      <c r="HF177" s="31"/>
      <c r="HG177" s="31"/>
      <c r="HH177" s="31"/>
      <c r="HI177" s="31"/>
      <c r="HJ177" s="31"/>
      <c r="HK177" s="31"/>
      <c r="HL177" s="31"/>
      <c r="HM177" s="31"/>
      <c r="HN177" s="31"/>
      <c r="HO177" s="31"/>
      <c r="HP177" s="31"/>
      <c r="HQ177" s="31"/>
      <c r="HR177" s="31"/>
      <c r="HS177" s="31"/>
      <c r="HT177" s="31"/>
      <c r="HU177" s="31"/>
      <c r="HV177" s="31"/>
      <c r="HW177" s="31"/>
      <c r="HX177" s="31"/>
      <c r="HY177" s="31"/>
      <c r="HZ177" s="31"/>
    </row>
    <row r="178" spans="1:234" ht="14.25" customHeight="1" x14ac:dyDescent="0.35">
      <c r="A178" s="88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30"/>
      <c r="U178" s="27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  <c r="BS178" s="31"/>
      <c r="BT178" s="31"/>
      <c r="BU178" s="31"/>
      <c r="BV178" s="31"/>
      <c r="BW178" s="31"/>
      <c r="BX178" s="31"/>
      <c r="BY178" s="31"/>
      <c r="BZ178" s="31"/>
      <c r="CA178" s="31"/>
      <c r="CB178" s="31"/>
      <c r="CC178" s="31"/>
      <c r="CD178" s="31"/>
      <c r="CE178" s="31"/>
      <c r="CF178" s="31"/>
      <c r="CG178" s="31"/>
      <c r="CH178" s="31"/>
      <c r="CI178" s="31"/>
      <c r="CJ178" s="31"/>
      <c r="CK178" s="31"/>
      <c r="CL178" s="31"/>
      <c r="CM178" s="31"/>
      <c r="CN178" s="31"/>
      <c r="CO178" s="31"/>
      <c r="CP178" s="31"/>
      <c r="CQ178" s="31"/>
      <c r="CR178" s="31"/>
      <c r="CS178" s="31"/>
      <c r="CT178" s="31"/>
      <c r="CU178" s="31"/>
      <c r="CV178" s="31"/>
      <c r="CW178" s="31"/>
      <c r="CX178" s="31"/>
      <c r="CY178" s="31"/>
      <c r="CZ178" s="31"/>
      <c r="DA178" s="31"/>
      <c r="DB178" s="31"/>
      <c r="DC178" s="31"/>
      <c r="DD178" s="31"/>
      <c r="DE178" s="31"/>
      <c r="DF178" s="31"/>
      <c r="DG178" s="31"/>
      <c r="DH178" s="31"/>
      <c r="DI178" s="31"/>
      <c r="DJ178" s="31"/>
      <c r="DK178" s="31"/>
      <c r="DL178" s="31"/>
      <c r="DM178" s="31"/>
      <c r="DN178" s="31"/>
      <c r="DO178" s="31"/>
      <c r="DP178" s="31"/>
      <c r="DQ178" s="31"/>
      <c r="DR178" s="31"/>
      <c r="DS178" s="31"/>
      <c r="DT178" s="31"/>
      <c r="DU178" s="31"/>
      <c r="DV178" s="31"/>
      <c r="DW178" s="31"/>
      <c r="DX178" s="31"/>
      <c r="DY178" s="31"/>
      <c r="DZ178" s="31"/>
      <c r="EA178" s="31"/>
      <c r="EB178" s="31"/>
      <c r="EC178" s="31"/>
      <c r="ED178" s="31"/>
      <c r="EE178" s="31"/>
      <c r="EF178" s="31"/>
      <c r="EG178" s="31"/>
      <c r="EH178" s="31"/>
      <c r="EI178" s="31"/>
      <c r="EJ178" s="31"/>
      <c r="EK178" s="31"/>
      <c r="EL178" s="31"/>
      <c r="EM178" s="31"/>
      <c r="EN178" s="31"/>
      <c r="EO178" s="31"/>
      <c r="EP178" s="31"/>
      <c r="EQ178" s="31"/>
      <c r="ER178" s="31"/>
      <c r="ES178" s="31"/>
      <c r="ET178" s="31"/>
      <c r="EU178" s="31"/>
      <c r="EV178" s="31"/>
      <c r="EW178" s="31"/>
      <c r="EX178" s="31"/>
      <c r="EY178" s="31"/>
      <c r="EZ178" s="31"/>
      <c r="FA178" s="31"/>
      <c r="FB178" s="31"/>
      <c r="FC178" s="31"/>
      <c r="FD178" s="31"/>
      <c r="FE178" s="31"/>
      <c r="FF178" s="31"/>
      <c r="FG178" s="31"/>
      <c r="FH178" s="31"/>
      <c r="FI178" s="31"/>
      <c r="FJ178" s="31"/>
      <c r="FK178" s="31"/>
      <c r="FL178" s="31"/>
      <c r="FM178" s="31"/>
      <c r="FN178" s="31"/>
      <c r="FO178" s="31"/>
      <c r="FP178" s="31"/>
      <c r="FQ178" s="31"/>
      <c r="FR178" s="31"/>
      <c r="FS178" s="31"/>
      <c r="FT178" s="31"/>
      <c r="FU178" s="31"/>
      <c r="FV178" s="31"/>
      <c r="FW178" s="31"/>
      <c r="FX178" s="31"/>
      <c r="FY178" s="31"/>
      <c r="FZ178" s="31"/>
      <c r="GA178" s="31"/>
      <c r="GB178" s="31"/>
      <c r="GC178" s="31"/>
      <c r="GD178" s="31"/>
      <c r="GE178" s="31"/>
      <c r="GF178" s="31"/>
      <c r="GG178" s="31"/>
      <c r="GH178" s="31"/>
      <c r="GI178" s="31"/>
      <c r="GJ178" s="31"/>
      <c r="GK178" s="31"/>
      <c r="GL178" s="31"/>
      <c r="GM178" s="31"/>
      <c r="GN178" s="31"/>
      <c r="GO178" s="31"/>
      <c r="GP178" s="31"/>
      <c r="GQ178" s="31"/>
      <c r="GR178" s="31"/>
      <c r="GS178" s="31"/>
      <c r="GT178" s="31"/>
      <c r="GU178" s="31"/>
      <c r="GV178" s="31"/>
      <c r="GW178" s="31"/>
      <c r="GX178" s="31"/>
      <c r="GY178" s="31"/>
      <c r="GZ178" s="31"/>
      <c r="HA178" s="31"/>
      <c r="HB178" s="31"/>
      <c r="HC178" s="31"/>
      <c r="HD178" s="31"/>
      <c r="HE178" s="31"/>
      <c r="HF178" s="31"/>
      <c r="HG178" s="31"/>
      <c r="HH178" s="31"/>
      <c r="HI178" s="31"/>
      <c r="HJ178" s="31"/>
      <c r="HK178" s="31"/>
      <c r="HL178" s="31"/>
      <c r="HM178" s="31"/>
      <c r="HN178" s="31"/>
      <c r="HO178" s="31"/>
      <c r="HP178" s="31"/>
      <c r="HQ178" s="31"/>
      <c r="HR178" s="31"/>
      <c r="HS178" s="31"/>
      <c r="HT178" s="31"/>
      <c r="HU178" s="31"/>
      <c r="HV178" s="31"/>
      <c r="HW178" s="31"/>
      <c r="HX178" s="31"/>
      <c r="HY178" s="31"/>
      <c r="HZ178" s="31"/>
    </row>
    <row r="179" spans="1:234" ht="14.25" customHeight="1" x14ac:dyDescent="0.35">
      <c r="A179" s="88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30"/>
      <c r="U179" s="27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  <c r="BS179" s="31"/>
      <c r="BT179" s="31"/>
      <c r="BU179" s="31"/>
      <c r="BV179" s="31"/>
      <c r="BW179" s="31"/>
      <c r="BX179" s="31"/>
      <c r="BY179" s="31"/>
      <c r="BZ179" s="31"/>
      <c r="CA179" s="31"/>
      <c r="CB179" s="31"/>
      <c r="CC179" s="31"/>
      <c r="CD179" s="31"/>
      <c r="CE179" s="31"/>
      <c r="CF179" s="31"/>
      <c r="CG179" s="31"/>
      <c r="CH179" s="31"/>
      <c r="CI179" s="31"/>
      <c r="CJ179" s="31"/>
      <c r="CK179" s="31"/>
      <c r="CL179" s="31"/>
      <c r="CM179" s="31"/>
      <c r="CN179" s="31"/>
      <c r="CO179" s="31"/>
      <c r="CP179" s="31"/>
      <c r="CQ179" s="31"/>
      <c r="CR179" s="31"/>
      <c r="CS179" s="31"/>
      <c r="CT179" s="31"/>
      <c r="CU179" s="31"/>
      <c r="CV179" s="31"/>
      <c r="CW179" s="31"/>
      <c r="CX179" s="31"/>
      <c r="CY179" s="31"/>
      <c r="CZ179" s="31"/>
      <c r="DA179" s="31"/>
      <c r="DB179" s="31"/>
      <c r="DC179" s="31"/>
      <c r="DD179" s="31"/>
      <c r="DE179" s="31"/>
      <c r="DF179" s="31"/>
      <c r="DG179" s="31"/>
      <c r="DH179" s="31"/>
      <c r="DI179" s="31"/>
      <c r="DJ179" s="31"/>
      <c r="DK179" s="31"/>
      <c r="DL179" s="31"/>
      <c r="DM179" s="31"/>
      <c r="DN179" s="31"/>
      <c r="DO179" s="31"/>
      <c r="DP179" s="31"/>
      <c r="DQ179" s="31"/>
      <c r="DR179" s="31"/>
      <c r="DS179" s="31"/>
      <c r="DT179" s="31"/>
      <c r="DU179" s="31"/>
      <c r="DV179" s="31"/>
      <c r="DW179" s="31"/>
      <c r="DX179" s="31"/>
      <c r="DY179" s="31"/>
      <c r="DZ179" s="31"/>
      <c r="EA179" s="31"/>
      <c r="EB179" s="31"/>
      <c r="EC179" s="31"/>
      <c r="ED179" s="31"/>
      <c r="EE179" s="31"/>
      <c r="EF179" s="31"/>
      <c r="EG179" s="31"/>
      <c r="EH179" s="31"/>
      <c r="EI179" s="31"/>
      <c r="EJ179" s="31"/>
      <c r="EK179" s="31"/>
      <c r="EL179" s="31"/>
      <c r="EM179" s="31"/>
      <c r="EN179" s="31"/>
      <c r="EO179" s="31"/>
      <c r="EP179" s="31"/>
      <c r="EQ179" s="31"/>
      <c r="ER179" s="31"/>
      <c r="ES179" s="31"/>
      <c r="ET179" s="31"/>
      <c r="EU179" s="31"/>
      <c r="EV179" s="31"/>
      <c r="EW179" s="31"/>
      <c r="EX179" s="31"/>
      <c r="EY179" s="31"/>
      <c r="EZ179" s="31"/>
      <c r="FA179" s="31"/>
      <c r="FB179" s="31"/>
      <c r="FC179" s="31"/>
      <c r="FD179" s="31"/>
      <c r="FE179" s="31"/>
      <c r="FF179" s="31"/>
      <c r="FG179" s="31"/>
      <c r="FH179" s="31"/>
      <c r="FI179" s="31"/>
      <c r="FJ179" s="31"/>
      <c r="FK179" s="31"/>
      <c r="FL179" s="31"/>
      <c r="FM179" s="31"/>
      <c r="FN179" s="31"/>
      <c r="FO179" s="31"/>
      <c r="FP179" s="31"/>
      <c r="FQ179" s="31"/>
      <c r="FR179" s="31"/>
      <c r="FS179" s="31"/>
      <c r="FT179" s="31"/>
      <c r="FU179" s="31"/>
      <c r="FV179" s="31"/>
      <c r="FW179" s="31"/>
      <c r="FX179" s="31"/>
      <c r="FY179" s="31"/>
      <c r="FZ179" s="31"/>
      <c r="GA179" s="31"/>
      <c r="GB179" s="31"/>
      <c r="GC179" s="31"/>
      <c r="GD179" s="31"/>
      <c r="GE179" s="31"/>
      <c r="GF179" s="31"/>
      <c r="GG179" s="31"/>
      <c r="GH179" s="31"/>
      <c r="GI179" s="31"/>
      <c r="GJ179" s="31"/>
      <c r="GK179" s="31"/>
      <c r="GL179" s="31"/>
      <c r="GM179" s="31"/>
      <c r="GN179" s="31"/>
      <c r="GO179" s="31"/>
      <c r="GP179" s="31"/>
      <c r="GQ179" s="31"/>
      <c r="GR179" s="31"/>
      <c r="GS179" s="31"/>
      <c r="GT179" s="31"/>
      <c r="GU179" s="31"/>
      <c r="GV179" s="31"/>
      <c r="GW179" s="31"/>
      <c r="GX179" s="31"/>
      <c r="GY179" s="31"/>
      <c r="GZ179" s="31"/>
      <c r="HA179" s="31"/>
      <c r="HB179" s="31"/>
      <c r="HC179" s="31"/>
      <c r="HD179" s="31"/>
      <c r="HE179" s="31"/>
      <c r="HF179" s="31"/>
      <c r="HG179" s="31"/>
      <c r="HH179" s="31"/>
      <c r="HI179" s="31"/>
      <c r="HJ179" s="31"/>
      <c r="HK179" s="31"/>
      <c r="HL179" s="31"/>
      <c r="HM179" s="31"/>
      <c r="HN179" s="31"/>
      <c r="HO179" s="31"/>
      <c r="HP179" s="31"/>
      <c r="HQ179" s="31"/>
      <c r="HR179" s="31"/>
      <c r="HS179" s="31"/>
      <c r="HT179" s="31"/>
      <c r="HU179" s="31"/>
      <c r="HV179" s="31"/>
      <c r="HW179" s="31"/>
      <c r="HX179" s="31"/>
      <c r="HY179" s="31"/>
      <c r="HZ179" s="31"/>
    </row>
    <row r="180" spans="1:234" ht="14.25" customHeight="1" x14ac:dyDescent="0.35">
      <c r="A180" s="88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30"/>
      <c r="U180" s="27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  <c r="BS180" s="31"/>
      <c r="BT180" s="31"/>
      <c r="BU180" s="31"/>
      <c r="BV180" s="31"/>
      <c r="BW180" s="31"/>
      <c r="BX180" s="31"/>
      <c r="BY180" s="31"/>
      <c r="BZ180" s="31"/>
      <c r="CA180" s="31"/>
      <c r="CB180" s="31"/>
      <c r="CC180" s="31"/>
      <c r="CD180" s="31"/>
      <c r="CE180" s="31"/>
      <c r="CF180" s="31"/>
      <c r="CG180" s="31"/>
      <c r="CH180" s="31"/>
      <c r="CI180" s="31"/>
      <c r="CJ180" s="31"/>
      <c r="CK180" s="31"/>
      <c r="CL180" s="31"/>
      <c r="CM180" s="31"/>
      <c r="CN180" s="31"/>
      <c r="CO180" s="31"/>
      <c r="CP180" s="31"/>
      <c r="CQ180" s="31"/>
      <c r="CR180" s="31"/>
      <c r="CS180" s="31"/>
      <c r="CT180" s="31"/>
      <c r="CU180" s="31"/>
      <c r="CV180" s="31"/>
      <c r="CW180" s="31"/>
      <c r="CX180" s="31"/>
      <c r="CY180" s="31"/>
      <c r="CZ180" s="31"/>
      <c r="DA180" s="31"/>
      <c r="DB180" s="31"/>
      <c r="DC180" s="31"/>
      <c r="DD180" s="31"/>
      <c r="DE180" s="31"/>
      <c r="DF180" s="31"/>
      <c r="DG180" s="31"/>
      <c r="DH180" s="31"/>
      <c r="DI180" s="31"/>
      <c r="DJ180" s="31"/>
      <c r="DK180" s="31"/>
      <c r="DL180" s="31"/>
      <c r="DM180" s="31"/>
      <c r="DN180" s="31"/>
      <c r="DO180" s="31"/>
      <c r="DP180" s="31"/>
      <c r="DQ180" s="31"/>
      <c r="DR180" s="31"/>
      <c r="DS180" s="31"/>
      <c r="DT180" s="31"/>
      <c r="DU180" s="31"/>
      <c r="DV180" s="31"/>
      <c r="DW180" s="31"/>
      <c r="DX180" s="31"/>
      <c r="DY180" s="31"/>
      <c r="DZ180" s="31"/>
      <c r="EA180" s="31"/>
      <c r="EB180" s="31"/>
      <c r="EC180" s="31"/>
      <c r="ED180" s="31"/>
      <c r="EE180" s="31"/>
      <c r="EF180" s="31"/>
      <c r="EG180" s="31"/>
      <c r="EH180" s="31"/>
      <c r="EI180" s="31"/>
      <c r="EJ180" s="31"/>
      <c r="EK180" s="31"/>
      <c r="EL180" s="31"/>
      <c r="EM180" s="31"/>
      <c r="EN180" s="31"/>
      <c r="EO180" s="31"/>
      <c r="EP180" s="31"/>
      <c r="EQ180" s="31"/>
      <c r="ER180" s="31"/>
      <c r="ES180" s="31"/>
      <c r="ET180" s="31"/>
      <c r="EU180" s="31"/>
      <c r="EV180" s="31"/>
      <c r="EW180" s="31"/>
      <c r="EX180" s="31"/>
      <c r="EY180" s="31"/>
      <c r="EZ180" s="31"/>
      <c r="FA180" s="31"/>
      <c r="FB180" s="31"/>
      <c r="FC180" s="31"/>
      <c r="FD180" s="31"/>
      <c r="FE180" s="31"/>
      <c r="FF180" s="31"/>
      <c r="FG180" s="31"/>
      <c r="FH180" s="31"/>
      <c r="FI180" s="31"/>
      <c r="FJ180" s="31"/>
      <c r="FK180" s="31"/>
      <c r="FL180" s="31"/>
      <c r="FM180" s="31"/>
      <c r="FN180" s="31"/>
      <c r="FO180" s="31"/>
      <c r="FP180" s="31"/>
      <c r="FQ180" s="31"/>
      <c r="FR180" s="31"/>
      <c r="FS180" s="31"/>
      <c r="FT180" s="31"/>
      <c r="FU180" s="31"/>
      <c r="FV180" s="31"/>
      <c r="FW180" s="31"/>
      <c r="FX180" s="31"/>
      <c r="FY180" s="31"/>
      <c r="FZ180" s="31"/>
      <c r="GA180" s="31"/>
      <c r="GB180" s="31"/>
      <c r="GC180" s="31"/>
      <c r="GD180" s="31"/>
      <c r="GE180" s="31"/>
      <c r="GF180" s="31"/>
      <c r="GG180" s="31"/>
      <c r="GH180" s="31"/>
      <c r="GI180" s="31"/>
      <c r="GJ180" s="31"/>
      <c r="GK180" s="31"/>
      <c r="GL180" s="31"/>
      <c r="GM180" s="31"/>
      <c r="GN180" s="31"/>
      <c r="GO180" s="31"/>
      <c r="GP180" s="31"/>
      <c r="GQ180" s="31"/>
      <c r="GR180" s="31"/>
      <c r="GS180" s="31"/>
      <c r="GT180" s="31"/>
      <c r="GU180" s="31"/>
      <c r="GV180" s="31"/>
      <c r="GW180" s="31"/>
      <c r="GX180" s="31"/>
      <c r="GY180" s="31"/>
      <c r="GZ180" s="31"/>
      <c r="HA180" s="31"/>
      <c r="HB180" s="31"/>
      <c r="HC180" s="31"/>
      <c r="HD180" s="31"/>
      <c r="HE180" s="31"/>
      <c r="HF180" s="31"/>
      <c r="HG180" s="31"/>
      <c r="HH180" s="31"/>
      <c r="HI180" s="31"/>
      <c r="HJ180" s="31"/>
      <c r="HK180" s="31"/>
      <c r="HL180" s="31"/>
      <c r="HM180" s="31"/>
      <c r="HN180" s="31"/>
      <c r="HO180" s="31"/>
      <c r="HP180" s="31"/>
      <c r="HQ180" s="31"/>
      <c r="HR180" s="31"/>
      <c r="HS180" s="31"/>
      <c r="HT180" s="31"/>
      <c r="HU180" s="31"/>
      <c r="HV180" s="31"/>
      <c r="HW180" s="31"/>
      <c r="HX180" s="31"/>
      <c r="HY180" s="31"/>
      <c r="HZ180" s="31"/>
    </row>
    <row r="181" spans="1:234" ht="14.25" customHeight="1" x14ac:dyDescent="0.35">
      <c r="A181" s="88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30"/>
      <c r="U181" s="27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  <c r="BS181" s="31"/>
      <c r="BT181" s="31"/>
      <c r="BU181" s="31"/>
      <c r="BV181" s="31"/>
      <c r="BW181" s="31"/>
      <c r="BX181" s="31"/>
      <c r="BY181" s="31"/>
      <c r="BZ181" s="31"/>
      <c r="CA181" s="31"/>
      <c r="CB181" s="31"/>
      <c r="CC181" s="31"/>
      <c r="CD181" s="31"/>
      <c r="CE181" s="31"/>
      <c r="CF181" s="31"/>
      <c r="CG181" s="31"/>
      <c r="CH181" s="31"/>
      <c r="CI181" s="31"/>
      <c r="CJ181" s="31"/>
      <c r="CK181" s="31"/>
      <c r="CL181" s="31"/>
      <c r="CM181" s="31"/>
      <c r="CN181" s="31"/>
      <c r="CO181" s="31"/>
      <c r="CP181" s="31"/>
      <c r="CQ181" s="31"/>
      <c r="CR181" s="31"/>
      <c r="CS181" s="31"/>
      <c r="CT181" s="31"/>
      <c r="CU181" s="31"/>
      <c r="CV181" s="31"/>
      <c r="CW181" s="31"/>
      <c r="CX181" s="31"/>
      <c r="CY181" s="31"/>
      <c r="CZ181" s="31"/>
      <c r="DA181" s="31"/>
      <c r="DB181" s="31"/>
      <c r="DC181" s="31"/>
      <c r="DD181" s="31"/>
      <c r="DE181" s="31"/>
      <c r="DF181" s="31"/>
      <c r="DG181" s="31"/>
      <c r="DH181" s="31"/>
      <c r="DI181" s="31"/>
      <c r="DJ181" s="31"/>
      <c r="DK181" s="31"/>
      <c r="DL181" s="31"/>
      <c r="DM181" s="31"/>
      <c r="DN181" s="31"/>
      <c r="DO181" s="31"/>
      <c r="DP181" s="31"/>
      <c r="DQ181" s="31"/>
      <c r="DR181" s="31"/>
      <c r="DS181" s="31"/>
      <c r="DT181" s="31"/>
      <c r="DU181" s="31"/>
      <c r="DV181" s="31"/>
      <c r="DW181" s="31"/>
      <c r="DX181" s="31"/>
      <c r="DY181" s="31"/>
      <c r="DZ181" s="31"/>
      <c r="EA181" s="31"/>
      <c r="EB181" s="31"/>
      <c r="EC181" s="31"/>
      <c r="ED181" s="31"/>
      <c r="EE181" s="31"/>
      <c r="EF181" s="31"/>
      <c r="EG181" s="31"/>
      <c r="EH181" s="31"/>
      <c r="EI181" s="31"/>
      <c r="EJ181" s="31"/>
      <c r="EK181" s="31"/>
      <c r="EL181" s="31"/>
      <c r="EM181" s="31"/>
      <c r="EN181" s="31"/>
      <c r="EO181" s="31"/>
      <c r="EP181" s="31"/>
      <c r="EQ181" s="31"/>
      <c r="ER181" s="31"/>
      <c r="ES181" s="31"/>
      <c r="ET181" s="31"/>
      <c r="EU181" s="31"/>
      <c r="EV181" s="31"/>
      <c r="EW181" s="31"/>
      <c r="EX181" s="31"/>
      <c r="EY181" s="31"/>
      <c r="EZ181" s="31"/>
      <c r="FA181" s="31"/>
      <c r="FB181" s="31"/>
      <c r="FC181" s="31"/>
      <c r="FD181" s="31"/>
      <c r="FE181" s="31"/>
      <c r="FF181" s="31"/>
      <c r="FG181" s="31"/>
      <c r="FH181" s="31"/>
      <c r="FI181" s="31"/>
      <c r="FJ181" s="31"/>
      <c r="FK181" s="31"/>
      <c r="FL181" s="31"/>
      <c r="FM181" s="31"/>
      <c r="FN181" s="31"/>
      <c r="FO181" s="31"/>
      <c r="FP181" s="31"/>
      <c r="FQ181" s="31"/>
      <c r="FR181" s="31"/>
      <c r="FS181" s="31"/>
      <c r="FT181" s="31"/>
      <c r="FU181" s="31"/>
      <c r="FV181" s="31"/>
      <c r="FW181" s="31"/>
      <c r="FX181" s="31"/>
      <c r="FY181" s="31"/>
      <c r="FZ181" s="31"/>
      <c r="GA181" s="31"/>
      <c r="GB181" s="31"/>
      <c r="GC181" s="31"/>
      <c r="GD181" s="31"/>
      <c r="GE181" s="31"/>
      <c r="GF181" s="31"/>
      <c r="GG181" s="31"/>
      <c r="GH181" s="31"/>
      <c r="GI181" s="31"/>
      <c r="GJ181" s="31"/>
      <c r="GK181" s="31"/>
      <c r="GL181" s="31"/>
      <c r="GM181" s="31"/>
      <c r="GN181" s="31"/>
      <c r="GO181" s="31"/>
      <c r="GP181" s="31"/>
      <c r="GQ181" s="31"/>
      <c r="GR181" s="31"/>
      <c r="GS181" s="31"/>
      <c r="GT181" s="31"/>
      <c r="GU181" s="31"/>
      <c r="GV181" s="31"/>
      <c r="GW181" s="31"/>
      <c r="GX181" s="31"/>
      <c r="GY181" s="31"/>
      <c r="GZ181" s="31"/>
      <c r="HA181" s="31"/>
      <c r="HB181" s="31"/>
      <c r="HC181" s="31"/>
      <c r="HD181" s="31"/>
      <c r="HE181" s="31"/>
      <c r="HF181" s="31"/>
      <c r="HG181" s="31"/>
      <c r="HH181" s="31"/>
      <c r="HI181" s="31"/>
      <c r="HJ181" s="31"/>
      <c r="HK181" s="31"/>
      <c r="HL181" s="31"/>
      <c r="HM181" s="31"/>
      <c r="HN181" s="31"/>
      <c r="HO181" s="31"/>
      <c r="HP181" s="31"/>
      <c r="HQ181" s="31"/>
      <c r="HR181" s="31"/>
      <c r="HS181" s="31"/>
      <c r="HT181" s="31"/>
      <c r="HU181" s="31"/>
      <c r="HV181" s="31"/>
      <c r="HW181" s="31"/>
      <c r="HX181" s="31"/>
      <c r="HY181" s="31"/>
      <c r="HZ181" s="31"/>
    </row>
    <row r="182" spans="1:234" ht="14.25" customHeight="1" x14ac:dyDescent="0.35">
      <c r="A182" s="88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30"/>
      <c r="U182" s="27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31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  <c r="BS182" s="31"/>
      <c r="BT182" s="31"/>
      <c r="BU182" s="31"/>
      <c r="BV182" s="31"/>
      <c r="BW182" s="31"/>
      <c r="BX182" s="31"/>
      <c r="BY182" s="31"/>
      <c r="BZ182" s="31"/>
      <c r="CA182" s="31"/>
      <c r="CB182" s="31"/>
      <c r="CC182" s="31"/>
      <c r="CD182" s="31"/>
      <c r="CE182" s="31"/>
      <c r="CF182" s="31"/>
      <c r="CG182" s="31"/>
      <c r="CH182" s="31"/>
      <c r="CI182" s="31"/>
      <c r="CJ182" s="31"/>
      <c r="CK182" s="31"/>
      <c r="CL182" s="31"/>
      <c r="CM182" s="31"/>
      <c r="CN182" s="31"/>
      <c r="CO182" s="31"/>
      <c r="CP182" s="31"/>
      <c r="CQ182" s="31"/>
      <c r="CR182" s="31"/>
      <c r="CS182" s="31"/>
      <c r="CT182" s="31"/>
      <c r="CU182" s="31"/>
      <c r="CV182" s="31"/>
      <c r="CW182" s="31"/>
      <c r="CX182" s="31"/>
      <c r="CY182" s="31"/>
      <c r="CZ182" s="31"/>
      <c r="DA182" s="31"/>
      <c r="DB182" s="31"/>
      <c r="DC182" s="31"/>
      <c r="DD182" s="31"/>
      <c r="DE182" s="31"/>
      <c r="DF182" s="31"/>
      <c r="DG182" s="31"/>
      <c r="DH182" s="31"/>
      <c r="DI182" s="31"/>
      <c r="DJ182" s="31"/>
      <c r="DK182" s="31"/>
      <c r="DL182" s="31"/>
      <c r="DM182" s="31"/>
      <c r="DN182" s="31"/>
      <c r="DO182" s="31"/>
      <c r="DP182" s="31"/>
      <c r="DQ182" s="31"/>
      <c r="DR182" s="31"/>
      <c r="DS182" s="31"/>
      <c r="DT182" s="31"/>
      <c r="DU182" s="31"/>
      <c r="DV182" s="31"/>
      <c r="DW182" s="31"/>
      <c r="DX182" s="31"/>
      <c r="DY182" s="31"/>
      <c r="DZ182" s="31"/>
      <c r="EA182" s="31"/>
      <c r="EB182" s="31"/>
      <c r="EC182" s="31"/>
      <c r="ED182" s="31"/>
      <c r="EE182" s="31"/>
      <c r="EF182" s="31"/>
      <c r="EG182" s="31"/>
      <c r="EH182" s="31"/>
      <c r="EI182" s="31"/>
      <c r="EJ182" s="31"/>
      <c r="EK182" s="31"/>
      <c r="EL182" s="31"/>
      <c r="EM182" s="31"/>
      <c r="EN182" s="31"/>
      <c r="EO182" s="31"/>
      <c r="EP182" s="31"/>
      <c r="EQ182" s="31"/>
      <c r="ER182" s="31"/>
      <c r="ES182" s="31"/>
      <c r="ET182" s="31"/>
      <c r="EU182" s="31"/>
      <c r="EV182" s="31"/>
      <c r="EW182" s="31"/>
      <c r="EX182" s="31"/>
      <c r="EY182" s="31"/>
      <c r="EZ182" s="31"/>
      <c r="FA182" s="31"/>
      <c r="FB182" s="31"/>
      <c r="FC182" s="31"/>
      <c r="FD182" s="31"/>
      <c r="FE182" s="31"/>
      <c r="FF182" s="31"/>
      <c r="FG182" s="31"/>
      <c r="FH182" s="31"/>
      <c r="FI182" s="31"/>
      <c r="FJ182" s="31"/>
      <c r="FK182" s="31"/>
      <c r="FL182" s="31"/>
      <c r="FM182" s="31"/>
      <c r="FN182" s="31"/>
      <c r="FO182" s="31"/>
      <c r="FP182" s="31"/>
      <c r="FQ182" s="31"/>
      <c r="FR182" s="31"/>
      <c r="FS182" s="31"/>
      <c r="FT182" s="31"/>
      <c r="FU182" s="31"/>
      <c r="FV182" s="31"/>
      <c r="FW182" s="31"/>
      <c r="FX182" s="31"/>
      <c r="FY182" s="31"/>
      <c r="FZ182" s="31"/>
      <c r="GA182" s="31"/>
      <c r="GB182" s="31"/>
      <c r="GC182" s="31"/>
      <c r="GD182" s="31"/>
      <c r="GE182" s="31"/>
      <c r="GF182" s="31"/>
      <c r="GG182" s="31"/>
      <c r="GH182" s="31"/>
      <c r="GI182" s="31"/>
      <c r="GJ182" s="31"/>
      <c r="GK182" s="31"/>
      <c r="GL182" s="31"/>
      <c r="GM182" s="31"/>
      <c r="GN182" s="31"/>
      <c r="GO182" s="31"/>
      <c r="GP182" s="31"/>
      <c r="GQ182" s="31"/>
      <c r="GR182" s="31"/>
      <c r="GS182" s="31"/>
      <c r="GT182" s="31"/>
      <c r="GU182" s="31"/>
      <c r="GV182" s="31"/>
      <c r="GW182" s="31"/>
      <c r="GX182" s="31"/>
      <c r="GY182" s="31"/>
      <c r="GZ182" s="31"/>
      <c r="HA182" s="31"/>
      <c r="HB182" s="31"/>
      <c r="HC182" s="31"/>
      <c r="HD182" s="31"/>
      <c r="HE182" s="31"/>
      <c r="HF182" s="31"/>
      <c r="HG182" s="31"/>
      <c r="HH182" s="31"/>
      <c r="HI182" s="31"/>
      <c r="HJ182" s="31"/>
      <c r="HK182" s="31"/>
      <c r="HL182" s="31"/>
      <c r="HM182" s="31"/>
      <c r="HN182" s="31"/>
      <c r="HO182" s="31"/>
      <c r="HP182" s="31"/>
      <c r="HQ182" s="31"/>
      <c r="HR182" s="31"/>
      <c r="HS182" s="31"/>
      <c r="HT182" s="31"/>
      <c r="HU182" s="31"/>
      <c r="HV182" s="31"/>
      <c r="HW182" s="31"/>
      <c r="HX182" s="31"/>
      <c r="HY182" s="31"/>
      <c r="HZ182" s="31"/>
    </row>
    <row r="183" spans="1:234" ht="14.25" customHeight="1" x14ac:dyDescent="0.35">
      <c r="A183" s="88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30"/>
      <c r="U183" s="27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  <c r="BS183" s="31"/>
      <c r="BT183" s="31"/>
      <c r="BU183" s="31"/>
      <c r="BV183" s="31"/>
      <c r="BW183" s="31"/>
      <c r="BX183" s="31"/>
      <c r="BY183" s="31"/>
      <c r="BZ183" s="31"/>
      <c r="CA183" s="31"/>
      <c r="CB183" s="31"/>
      <c r="CC183" s="31"/>
      <c r="CD183" s="31"/>
      <c r="CE183" s="31"/>
      <c r="CF183" s="31"/>
      <c r="CG183" s="31"/>
      <c r="CH183" s="31"/>
      <c r="CI183" s="31"/>
      <c r="CJ183" s="31"/>
      <c r="CK183" s="31"/>
      <c r="CL183" s="31"/>
      <c r="CM183" s="31"/>
      <c r="CN183" s="31"/>
      <c r="CO183" s="31"/>
      <c r="CP183" s="31"/>
      <c r="CQ183" s="31"/>
      <c r="CR183" s="31"/>
      <c r="CS183" s="31"/>
      <c r="CT183" s="31"/>
      <c r="CU183" s="31"/>
      <c r="CV183" s="31"/>
      <c r="CW183" s="31"/>
      <c r="CX183" s="31"/>
      <c r="CY183" s="31"/>
      <c r="CZ183" s="31"/>
      <c r="DA183" s="31"/>
      <c r="DB183" s="31"/>
      <c r="DC183" s="31"/>
      <c r="DD183" s="31"/>
      <c r="DE183" s="31"/>
      <c r="DF183" s="31"/>
      <c r="DG183" s="31"/>
      <c r="DH183" s="31"/>
      <c r="DI183" s="31"/>
      <c r="DJ183" s="31"/>
      <c r="DK183" s="31"/>
      <c r="DL183" s="31"/>
      <c r="DM183" s="31"/>
      <c r="DN183" s="31"/>
      <c r="DO183" s="31"/>
      <c r="DP183" s="31"/>
      <c r="DQ183" s="31"/>
      <c r="DR183" s="31"/>
      <c r="DS183" s="31"/>
      <c r="DT183" s="31"/>
      <c r="DU183" s="31"/>
      <c r="DV183" s="31"/>
      <c r="DW183" s="31"/>
      <c r="DX183" s="31"/>
      <c r="DY183" s="31"/>
      <c r="DZ183" s="31"/>
      <c r="EA183" s="31"/>
      <c r="EB183" s="31"/>
      <c r="EC183" s="31"/>
      <c r="ED183" s="31"/>
      <c r="EE183" s="31"/>
      <c r="EF183" s="31"/>
      <c r="EG183" s="31"/>
      <c r="EH183" s="31"/>
      <c r="EI183" s="31"/>
      <c r="EJ183" s="31"/>
      <c r="EK183" s="31"/>
      <c r="EL183" s="31"/>
      <c r="EM183" s="31"/>
      <c r="EN183" s="31"/>
      <c r="EO183" s="31"/>
      <c r="EP183" s="31"/>
      <c r="EQ183" s="31"/>
      <c r="ER183" s="31"/>
      <c r="ES183" s="31"/>
      <c r="ET183" s="31"/>
      <c r="EU183" s="31"/>
      <c r="EV183" s="31"/>
      <c r="EW183" s="31"/>
      <c r="EX183" s="31"/>
      <c r="EY183" s="31"/>
      <c r="EZ183" s="31"/>
      <c r="FA183" s="31"/>
      <c r="FB183" s="31"/>
      <c r="FC183" s="31"/>
      <c r="FD183" s="31"/>
      <c r="FE183" s="31"/>
      <c r="FF183" s="31"/>
      <c r="FG183" s="31"/>
      <c r="FH183" s="31"/>
      <c r="FI183" s="31"/>
      <c r="FJ183" s="31"/>
      <c r="FK183" s="31"/>
      <c r="FL183" s="31"/>
      <c r="FM183" s="31"/>
      <c r="FN183" s="31"/>
      <c r="FO183" s="31"/>
      <c r="FP183" s="31"/>
      <c r="FQ183" s="31"/>
      <c r="FR183" s="31"/>
      <c r="FS183" s="31"/>
      <c r="FT183" s="31"/>
      <c r="FU183" s="31"/>
      <c r="FV183" s="31"/>
      <c r="FW183" s="31"/>
      <c r="FX183" s="31"/>
      <c r="FY183" s="31"/>
      <c r="FZ183" s="31"/>
      <c r="GA183" s="31"/>
      <c r="GB183" s="31"/>
      <c r="GC183" s="31"/>
      <c r="GD183" s="31"/>
      <c r="GE183" s="31"/>
      <c r="GF183" s="31"/>
      <c r="GG183" s="31"/>
      <c r="GH183" s="31"/>
      <c r="GI183" s="31"/>
      <c r="GJ183" s="31"/>
      <c r="GK183" s="31"/>
      <c r="GL183" s="31"/>
      <c r="GM183" s="31"/>
      <c r="GN183" s="31"/>
      <c r="GO183" s="31"/>
      <c r="GP183" s="31"/>
      <c r="GQ183" s="31"/>
      <c r="GR183" s="31"/>
      <c r="GS183" s="31"/>
      <c r="GT183" s="31"/>
      <c r="GU183" s="31"/>
      <c r="GV183" s="31"/>
      <c r="GW183" s="31"/>
      <c r="GX183" s="31"/>
      <c r="GY183" s="31"/>
      <c r="GZ183" s="31"/>
      <c r="HA183" s="31"/>
      <c r="HB183" s="31"/>
      <c r="HC183" s="31"/>
      <c r="HD183" s="31"/>
      <c r="HE183" s="31"/>
      <c r="HF183" s="31"/>
      <c r="HG183" s="31"/>
      <c r="HH183" s="31"/>
      <c r="HI183" s="31"/>
      <c r="HJ183" s="31"/>
      <c r="HK183" s="31"/>
      <c r="HL183" s="31"/>
      <c r="HM183" s="31"/>
      <c r="HN183" s="31"/>
      <c r="HO183" s="31"/>
      <c r="HP183" s="31"/>
      <c r="HQ183" s="31"/>
      <c r="HR183" s="31"/>
      <c r="HS183" s="31"/>
      <c r="HT183" s="31"/>
      <c r="HU183" s="31"/>
      <c r="HV183" s="31"/>
      <c r="HW183" s="31"/>
      <c r="HX183" s="31"/>
      <c r="HY183" s="31"/>
      <c r="HZ183" s="31"/>
    </row>
    <row r="184" spans="1:234" ht="14.25" customHeight="1" x14ac:dyDescent="0.35">
      <c r="A184" s="88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30"/>
      <c r="U184" s="27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31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  <c r="BS184" s="31"/>
      <c r="BT184" s="31"/>
      <c r="BU184" s="31"/>
      <c r="BV184" s="31"/>
      <c r="BW184" s="31"/>
      <c r="BX184" s="31"/>
      <c r="BY184" s="31"/>
      <c r="BZ184" s="31"/>
      <c r="CA184" s="31"/>
      <c r="CB184" s="31"/>
      <c r="CC184" s="31"/>
      <c r="CD184" s="31"/>
      <c r="CE184" s="31"/>
      <c r="CF184" s="31"/>
      <c r="CG184" s="31"/>
      <c r="CH184" s="31"/>
      <c r="CI184" s="31"/>
      <c r="CJ184" s="31"/>
      <c r="CK184" s="31"/>
      <c r="CL184" s="31"/>
      <c r="CM184" s="31"/>
      <c r="CN184" s="31"/>
      <c r="CO184" s="31"/>
      <c r="CP184" s="31"/>
      <c r="CQ184" s="31"/>
      <c r="CR184" s="31"/>
      <c r="CS184" s="31"/>
      <c r="CT184" s="31"/>
      <c r="CU184" s="31"/>
      <c r="CV184" s="31"/>
      <c r="CW184" s="31"/>
      <c r="CX184" s="31"/>
      <c r="CY184" s="31"/>
      <c r="CZ184" s="31"/>
      <c r="DA184" s="31"/>
      <c r="DB184" s="31"/>
      <c r="DC184" s="31"/>
      <c r="DD184" s="31"/>
      <c r="DE184" s="31"/>
      <c r="DF184" s="31"/>
      <c r="DG184" s="31"/>
      <c r="DH184" s="31"/>
      <c r="DI184" s="31"/>
      <c r="DJ184" s="31"/>
      <c r="DK184" s="31"/>
      <c r="DL184" s="31"/>
      <c r="DM184" s="31"/>
      <c r="DN184" s="31"/>
      <c r="DO184" s="31"/>
      <c r="DP184" s="31"/>
      <c r="DQ184" s="31"/>
      <c r="DR184" s="31"/>
      <c r="DS184" s="31"/>
      <c r="DT184" s="31"/>
      <c r="DU184" s="31"/>
      <c r="DV184" s="31"/>
      <c r="DW184" s="31"/>
      <c r="DX184" s="31"/>
      <c r="DY184" s="31"/>
      <c r="DZ184" s="31"/>
      <c r="EA184" s="31"/>
      <c r="EB184" s="31"/>
      <c r="EC184" s="31"/>
      <c r="ED184" s="31"/>
      <c r="EE184" s="31"/>
      <c r="EF184" s="31"/>
      <c r="EG184" s="31"/>
      <c r="EH184" s="31"/>
      <c r="EI184" s="31"/>
      <c r="EJ184" s="31"/>
      <c r="EK184" s="31"/>
      <c r="EL184" s="31"/>
      <c r="EM184" s="31"/>
      <c r="EN184" s="31"/>
      <c r="EO184" s="31"/>
      <c r="EP184" s="31"/>
      <c r="EQ184" s="31"/>
      <c r="ER184" s="31"/>
      <c r="ES184" s="31"/>
      <c r="ET184" s="31"/>
      <c r="EU184" s="31"/>
      <c r="EV184" s="31"/>
      <c r="EW184" s="31"/>
      <c r="EX184" s="31"/>
      <c r="EY184" s="31"/>
      <c r="EZ184" s="31"/>
      <c r="FA184" s="31"/>
      <c r="FB184" s="31"/>
      <c r="FC184" s="31"/>
      <c r="FD184" s="31"/>
      <c r="FE184" s="31"/>
      <c r="FF184" s="31"/>
      <c r="FG184" s="31"/>
      <c r="FH184" s="31"/>
      <c r="FI184" s="31"/>
      <c r="FJ184" s="31"/>
      <c r="FK184" s="31"/>
      <c r="FL184" s="31"/>
      <c r="FM184" s="31"/>
      <c r="FN184" s="31"/>
      <c r="FO184" s="31"/>
      <c r="FP184" s="31"/>
      <c r="FQ184" s="31"/>
      <c r="FR184" s="31"/>
      <c r="FS184" s="31"/>
      <c r="FT184" s="31"/>
      <c r="FU184" s="31"/>
      <c r="FV184" s="31"/>
      <c r="FW184" s="31"/>
      <c r="FX184" s="31"/>
      <c r="FY184" s="31"/>
      <c r="FZ184" s="31"/>
      <c r="GA184" s="31"/>
      <c r="GB184" s="31"/>
      <c r="GC184" s="31"/>
      <c r="GD184" s="31"/>
      <c r="GE184" s="31"/>
      <c r="GF184" s="31"/>
      <c r="GG184" s="31"/>
      <c r="GH184" s="31"/>
      <c r="GI184" s="31"/>
      <c r="GJ184" s="31"/>
      <c r="GK184" s="31"/>
      <c r="GL184" s="31"/>
      <c r="GM184" s="31"/>
      <c r="GN184" s="31"/>
      <c r="GO184" s="31"/>
      <c r="GP184" s="31"/>
      <c r="GQ184" s="31"/>
      <c r="GR184" s="31"/>
      <c r="GS184" s="31"/>
      <c r="GT184" s="31"/>
      <c r="GU184" s="31"/>
      <c r="GV184" s="31"/>
      <c r="GW184" s="31"/>
      <c r="GX184" s="31"/>
      <c r="GY184" s="31"/>
      <c r="GZ184" s="31"/>
      <c r="HA184" s="31"/>
      <c r="HB184" s="31"/>
      <c r="HC184" s="31"/>
      <c r="HD184" s="31"/>
      <c r="HE184" s="31"/>
      <c r="HF184" s="31"/>
      <c r="HG184" s="31"/>
      <c r="HH184" s="31"/>
      <c r="HI184" s="31"/>
      <c r="HJ184" s="31"/>
      <c r="HK184" s="31"/>
      <c r="HL184" s="31"/>
      <c r="HM184" s="31"/>
      <c r="HN184" s="31"/>
      <c r="HO184" s="31"/>
      <c r="HP184" s="31"/>
      <c r="HQ184" s="31"/>
      <c r="HR184" s="31"/>
      <c r="HS184" s="31"/>
      <c r="HT184" s="31"/>
      <c r="HU184" s="31"/>
      <c r="HV184" s="31"/>
      <c r="HW184" s="31"/>
      <c r="HX184" s="31"/>
      <c r="HY184" s="31"/>
      <c r="HZ184" s="31"/>
    </row>
    <row r="185" spans="1:234" ht="14.25" customHeight="1" x14ac:dyDescent="0.35">
      <c r="A185" s="88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30"/>
      <c r="U185" s="27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  <c r="BS185" s="31"/>
      <c r="BT185" s="31"/>
      <c r="BU185" s="31"/>
      <c r="BV185" s="31"/>
      <c r="BW185" s="31"/>
      <c r="BX185" s="31"/>
      <c r="BY185" s="31"/>
      <c r="BZ185" s="31"/>
      <c r="CA185" s="31"/>
      <c r="CB185" s="31"/>
      <c r="CC185" s="31"/>
      <c r="CD185" s="31"/>
      <c r="CE185" s="31"/>
      <c r="CF185" s="31"/>
      <c r="CG185" s="31"/>
      <c r="CH185" s="31"/>
      <c r="CI185" s="31"/>
      <c r="CJ185" s="31"/>
      <c r="CK185" s="31"/>
      <c r="CL185" s="31"/>
      <c r="CM185" s="31"/>
      <c r="CN185" s="31"/>
      <c r="CO185" s="31"/>
      <c r="CP185" s="31"/>
      <c r="CQ185" s="31"/>
      <c r="CR185" s="31"/>
      <c r="CS185" s="31"/>
      <c r="CT185" s="31"/>
      <c r="CU185" s="31"/>
      <c r="CV185" s="31"/>
      <c r="CW185" s="31"/>
      <c r="CX185" s="31"/>
      <c r="CY185" s="31"/>
      <c r="CZ185" s="31"/>
      <c r="DA185" s="31"/>
      <c r="DB185" s="31"/>
      <c r="DC185" s="31"/>
      <c r="DD185" s="31"/>
      <c r="DE185" s="31"/>
      <c r="DF185" s="31"/>
      <c r="DG185" s="31"/>
      <c r="DH185" s="31"/>
      <c r="DI185" s="31"/>
      <c r="DJ185" s="31"/>
      <c r="DK185" s="31"/>
      <c r="DL185" s="31"/>
      <c r="DM185" s="31"/>
      <c r="DN185" s="31"/>
      <c r="DO185" s="31"/>
      <c r="DP185" s="31"/>
      <c r="DQ185" s="31"/>
      <c r="DR185" s="31"/>
      <c r="DS185" s="31"/>
      <c r="DT185" s="31"/>
      <c r="DU185" s="31"/>
      <c r="DV185" s="31"/>
      <c r="DW185" s="31"/>
      <c r="DX185" s="31"/>
      <c r="DY185" s="31"/>
      <c r="DZ185" s="31"/>
      <c r="EA185" s="31"/>
      <c r="EB185" s="31"/>
      <c r="EC185" s="31"/>
      <c r="ED185" s="31"/>
      <c r="EE185" s="31"/>
      <c r="EF185" s="31"/>
      <c r="EG185" s="31"/>
      <c r="EH185" s="31"/>
      <c r="EI185" s="31"/>
      <c r="EJ185" s="31"/>
      <c r="EK185" s="31"/>
      <c r="EL185" s="31"/>
      <c r="EM185" s="31"/>
      <c r="EN185" s="31"/>
      <c r="EO185" s="31"/>
      <c r="EP185" s="31"/>
      <c r="EQ185" s="31"/>
      <c r="ER185" s="31"/>
      <c r="ES185" s="31"/>
      <c r="ET185" s="31"/>
      <c r="EU185" s="31"/>
      <c r="EV185" s="31"/>
      <c r="EW185" s="31"/>
      <c r="EX185" s="31"/>
      <c r="EY185" s="31"/>
      <c r="EZ185" s="31"/>
      <c r="FA185" s="31"/>
      <c r="FB185" s="31"/>
      <c r="FC185" s="31"/>
      <c r="FD185" s="31"/>
      <c r="FE185" s="31"/>
      <c r="FF185" s="31"/>
      <c r="FG185" s="31"/>
      <c r="FH185" s="31"/>
      <c r="FI185" s="31"/>
      <c r="FJ185" s="31"/>
      <c r="FK185" s="31"/>
      <c r="FL185" s="31"/>
      <c r="FM185" s="31"/>
      <c r="FN185" s="31"/>
      <c r="FO185" s="31"/>
      <c r="FP185" s="31"/>
      <c r="FQ185" s="31"/>
      <c r="FR185" s="31"/>
      <c r="FS185" s="31"/>
      <c r="FT185" s="31"/>
      <c r="FU185" s="31"/>
      <c r="FV185" s="31"/>
      <c r="FW185" s="31"/>
      <c r="FX185" s="31"/>
      <c r="FY185" s="31"/>
      <c r="FZ185" s="31"/>
      <c r="GA185" s="31"/>
      <c r="GB185" s="31"/>
      <c r="GC185" s="31"/>
      <c r="GD185" s="31"/>
      <c r="GE185" s="31"/>
      <c r="GF185" s="31"/>
      <c r="GG185" s="31"/>
      <c r="GH185" s="31"/>
      <c r="GI185" s="31"/>
      <c r="GJ185" s="31"/>
      <c r="GK185" s="31"/>
      <c r="GL185" s="31"/>
      <c r="GM185" s="31"/>
      <c r="GN185" s="31"/>
      <c r="GO185" s="31"/>
      <c r="GP185" s="31"/>
      <c r="GQ185" s="31"/>
      <c r="GR185" s="31"/>
      <c r="GS185" s="31"/>
      <c r="GT185" s="31"/>
      <c r="GU185" s="31"/>
      <c r="GV185" s="31"/>
      <c r="GW185" s="31"/>
      <c r="GX185" s="31"/>
      <c r="GY185" s="31"/>
      <c r="GZ185" s="31"/>
      <c r="HA185" s="31"/>
      <c r="HB185" s="31"/>
      <c r="HC185" s="31"/>
      <c r="HD185" s="31"/>
      <c r="HE185" s="31"/>
      <c r="HF185" s="31"/>
      <c r="HG185" s="31"/>
      <c r="HH185" s="31"/>
      <c r="HI185" s="31"/>
      <c r="HJ185" s="31"/>
      <c r="HK185" s="31"/>
      <c r="HL185" s="31"/>
      <c r="HM185" s="31"/>
      <c r="HN185" s="31"/>
      <c r="HO185" s="31"/>
      <c r="HP185" s="31"/>
      <c r="HQ185" s="31"/>
      <c r="HR185" s="31"/>
      <c r="HS185" s="31"/>
      <c r="HT185" s="31"/>
      <c r="HU185" s="31"/>
      <c r="HV185" s="31"/>
      <c r="HW185" s="31"/>
      <c r="HX185" s="31"/>
      <c r="HY185" s="31"/>
      <c r="HZ185" s="31"/>
    </row>
    <row r="186" spans="1:234" ht="14.25" customHeight="1" x14ac:dyDescent="0.35">
      <c r="A186" s="88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30"/>
      <c r="U186" s="27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  <c r="BS186" s="31"/>
      <c r="BT186" s="31"/>
      <c r="BU186" s="31"/>
      <c r="BV186" s="31"/>
      <c r="BW186" s="31"/>
      <c r="BX186" s="31"/>
      <c r="BY186" s="31"/>
      <c r="BZ186" s="31"/>
      <c r="CA186" s="31"/>
      <c r="CB186" s="31"/>
      <c r="CC186" s="31"/>
      <c r="CD186" s="31"/>
      <c r="CE186" s="31"/>
      <c r="CF186" s="31"/>
      <c r="CG186" s="31"/>
      <c r="CH186" s="31"/>
      <c r="CI186" s="31"/>
      <c r="CJ186" s="31"/>
      <c r="CK186" s="31"/>
      <c r="CL186" s="31"/>
      <c r="CM186" s="31"/>
      <c r="CN186" s="31"/>
      <c r="CO186" s="31"/>
      <c r="CP186" s="31"/>
      <c r="CQ186" s="31"/>
      <c r="CR186" s="31"/>
      <c r="CS186" s="31"/>
      <c r="CT186" s="31"/>
      <c r="CU186" s="31"/>
      <c r="CV186" s="31"/>
      <c r="CW186" s="31"/>
      <c r="CX186" s="31"/>
      <c r="CY186" s="31"/>
      <c r="CZ186" s="31"/>
      <c r="DA186" s="31"/>
      <c r="DB186" s="31"/>
      <c r="DC186" s="31"/>
      <c r="DD186" s="31"/>
      <c r="DE186" s="31"/>
      <c r="DF186" s="31"/>
      <c r="DG186" s="31"/>
      <c r="DH186" s="31"/>
      <c r="DI186" s="31"/>
      <c r="DJ186" s="31"/>
      <c r="DK186" s="31"/>
      <c r="DL186" s="31"/>
      <c r="DM186" s="31"/>
      <c r="DN186" s="31"/>
      <c r="DO186" s="31"/>
      <c r="DP186" s="31"/>
      <c r="DQ186" s="31"/>
      <c r="DR186" s="31"/>
      <c r="DS186" s="31"/>
      <c r="DT186" s="31"/>
      <c r="DU186" s="31"/>
      <c r="DV186" s="31"/>
      <c r="DW186" s="31"/>
      <c r="DX186" s="31"/>
      <c r="DY186" s="31"/>
      <c r="DZ186" s="31"/>
      <c r="EA186" s="31"/>
      <c r="EB186" s="31"/>
      <c r="EC186" s="31"/>
      <c r="ED186" s="31"/>
      <c r="EE186" s="31"/>
      <c r="EF186" s="31"/>
      <c r="EG186" s="31"/>
      <c r="EH186" s="31"/>
      <c r="EI186" s="31"/>
      <c r="EJ186" s="31"/>
      <c r="EK186" s="31"/>
      <c r="EL186" s="31"/>
      <c r="EM186" s="31"/>
      <c r="EN186" s="31"/>
      <c r="EO186" s="31"/>
      <c r="EP186" s="31"/>
      <c r="EQ186" s="31"/>
      <c r="ER186" s="31"/>
      <c r="ES186" s="31"/>
      <c r="ET186" s="31"/>
      <c r="EU186" s="31"/>
      <c r="EV186" s="31"/>
      <c r="EW186" s="31"/>
      <c r="EX186" s="31"/>
      <c r="EY186" s="31"/>
      <c r="EZ186" s="31"/>
      <c r="FA186" s="31"/>
      <c r="FB186" s="31"/>
      <c r="FC186" s="31"/>
      <c r="FD186" s="31"/>
      <c r="FE186" s="31"/>
      <c r="FF186" s="31"/>
      <c r="FG186" s="31"/>
      <c r="FH186" s="31"/>
      <c r="FI186" s="31"/>
      <c r="FJ186" s="31"/>
      <c r="FK186" s="31"/>
      <c r="FL186" s="31"/>
      <c r="FM186" s="31"/>
      <c r="FN186" s="31"/>
      <c r="FO186" s="31"/>
      <c r="FP186" s="31"/>
      <c r="FQ186" s="31"/>
      <c r="FR186" s="31"/>
      <c r="FS186" s="31"/>
      <c r="FT186" s="31"/>
      <c r="FU186" s="31"/>
      <c r="FV186" s="31"/>
      <c r="FW186" s="31"/>
      <c r="FX186" s="31"/>
      <c r="FY186" s="31"/>
      <c r="FZ186" s="31"/>
      <c r="GA186" s="31"/>
      <c r="GB186" s="31"/>
      <c r="GC186" s="31"/>
      <c r="GD186" s="31"/>
      <c r="GE186" s="31"/>
      <c r="GF186" s="31"/>
      <c r="GG186" s="31"/>
      <c r="GH186" s="31"/>
      <c r="GI186" s="31"/>
      <c r="GJ186" s="31"/>
      <c r="GK186" s="31"/>
      <c r="GL186" s="31"/>
      <c r="GM186" s="31"/>
      <c r="GN186" s="31"/>
      <c r="GO186" s="31"/>
      <c r="GP186" s="31"/>
      <c r="GQ186" s="31"/>
      <c r="GR186" s="31"/>
      <c r="GS186" s="31"/>
      <c r="GT186" s="31"/>
      <c r="GU186" s="31"/>
      <c r="GV186" s="31"/>
      <c r="GW186" s="31"/>
      <c r="GX186" s="31"/>
      <c r="GY186" s="31"/>
      <c r="GZ186" s="31"/>
      <c r="HA186" s="31"/>
      <c r="HB186" s="31"/>
      <c r="HC186" s="31"/>
      <c r="HD186" s="31"/>
      <c r="HE186" s="31"/>
      <c r="HF186" s="31"/>
      <c r="HG186" s="31"/>
      <c r="HH186" s="31"/>
      <c r="HI186" s="31"/>
      <c r="HJ186" s="31"/>
      <c r="HK186" s="31"/>
      <c r="HL186" s="31"/>
      <c r="HM186" s="31"/>
      <c r="HN186" s="31"/>
      <c r="HO186" s="31"/>
      <c r="HP186" s="31"/>
      <c r="HQ186" s="31"/>
      <c r="HR186" s="31"/>
      <c r="HS186" s="31"/>
      <c r="HT186" s="31"/>
      <c r="HU186" s="31"/>
      <c r="HV186" s="31"/>
      <c r="HW186" s="31"/>
      <c r="HX186" s="31"/>
      <c r="HY186" s="31"/>
      <c r="HZ186" s="31"/>
    </row>
    <row r="187" spans="1:234" ht="14.25" customHeight="1" x14ac:dyDescent="0.35">
      <c r="A187" s="88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30"/>
      <c r="U187" s="27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  <c r="BS187" s="31"/>
      <c r="BT187" s="31"/>
      <c r="BU187" s="31"/>
      <c r="BV187" s="31"/>
      <c r="BW187" s="31"/>
      <c r="BX187" s="31"/>
      <c r="BY187" s="31"/>
      <c r="BZ187" s="31"/>
      <c r="CA187" s="31"/>
      <c r="CB187" s="31"/>
      <c r="CC187" s="31"/>
      <c r="CD187" s="31"/>
      <c r="CE187" s="31"/>
      <c r="CF187" s="31"/>
      <c r="CG187" s="31"/>
      <c r="CH187" s="31"/>
      <c r="CI187" s="31"/>
      <c r="CJ187" s="31"/>
      <c r="CK187" s="31"/>
      <c r="CL187" s="31"/>
      <c r="CM187" s="31"/>
      <c r="CN187" s="31"/>
      <c r="CO187" s="31"/>
      <c r="CP187" s="31"/>
      <c r="CQ187" s="31"/>
      <c r="CR187" s="31"/>
      <c r="CS187" s="31"/>
      <c r="CT187" s="31"/>
      <c r="CU187" s="31"/>
      <c r="CV187" s="31"/>
      <c r="CW187" s="31"/>
      <c r="CX187" s="31"/>
      <c r="CY187" s="31"/>
      <c r="CZ187" s="31"/>
      <c r="DA187" s="31"/>
      <c r="DB187" s="31"/>
      <c r="DC187" s="31"/>
      <c r="DD187" s="31"/>
      <c r="DE187" s="31"/>
      <c r="DF187" s="31"/>
      <c r="DG187" s="31"/>
      <c r="DH187" s="31"/>
      <c r="DI187" s="31"/>
      <c r="DJ187" s="31"/>
      <c r="DK187" s="31"/>
      <c r="DL187" s="31"/>
      <c r="DM187" s="31"/>
      <c r="DN187" s="31"/>
      <c r="DO187" s="31"/>
      <c r="DP187" s="31"/>
      <c r="DQ187" s="31"/>
      <c r="DR187" s="31"/>
      <c r="DS187" s="31"/>
      <c r="DT187" s="31"/>
      <c r="DU187" s="31"/>
      <c r="DV187" s="31"/>
      <c r="DW187" s="31"/>
      <c r="DX187" s="31"/>
      <c r="DY187" s="31"/>
      <c r="DZ187" s="31"/>
      <c r="EA187" s="31"/>
      <c r="EB187" s="31"/>
      <c r="EC187" s="31"/>
      <c r="ED187" s="31"/>
      <c r="EE187" s="31"/>
      <c r="EF187" s="31"/>
      <c r="EG187" s="31"/>
      <c r="EH187" s="31"/>
      <c r="EI187" s="31"/>
      <c r="EJ187" s="31"/>
      <c r="EK187" s="31"/>
      <c r="EL187" s="31"/>
      <c r="EM187" s="31"/>
      <c r="EN187" s="31"/>
      <c r="EO187" s="31"/>
      <c r="EP187" s="31"/>
      <c r="EQ187" s="31"/>
      <c r="ER187" s="31"/>
      <c r="ES187" s="31"/>
      <c r="ET187" s="31"/>
      <c r="EU187" s="31"/>
      <c r="EV187" s="31"/>
      <c r="EW187" s="31"/>
      <c r="EX187" s="31"/>
      <c r="EY187" s="31"/>
      <c r="EZ187" s="31"/>
      <c r="FA187" s="31"/>
      <c r="FB187" s="31"/>
      <c r="FC187" s="31"/>
      <c r="FD187" s="31"/>
      <c r="FE187" s="31"/>
      <c r="FF187" s="31"/>
      <c r="FG187" s="31"/>
      <c r="FH187" s="31"/>
      <c r="FI187" s="31"/>
      <c r="FJ187" s="31"/>
      <c r="FK187" s="31"/>
      <c r="FL187" s="31"/>
      <c r="FM187" s="31"/>
      <c r="FN187" s="31"/>
      <c r="FO187" s="31"/>
      <c r="FP187" s="31"/>
      <c r="FQ187" s="31"/>
      <c r="FR187" s="31"/>
      <c r="FS187" s="31"/>
      <c r="FT187" s="31"/>
      <c r="FU187" s="31"/>
      <c r="FV187" s="31"/>
      <c r="FW187" s="31"/>
      <c r="FX187" s="31"/>
      <c r="FY187" s="31"/>
      <c r="FZ187" s="31"/>
      <c r="GA187" s="31"/>
      <c r="GB187" s="31"/>
      <c r="GC187" s="31"/>
      <c r="GD187" s="31"/>
      <c r="GE187" s="31"/>
      <c r="GF187" s="31"/>
      <c r="GG187" s="31"/>
      <c r="GH187" s="31"/>
      <c r="GI187" s="31"/>
      <c r="GJ187" s="31"/>
      <c r="GK187" s="31"/>
      <c r="GL187" s="31"/>
      <c r="GM187" s="31"/>
      <c r="GN187" s="31"/>
      <c r="GO187" s="31"/>
      <c r="GP187" s="31"/>
      <c r="GQ187" s="31"/>
      <c r="GR187" s="31"/>
      <c r="GS187" s="31"/>
      <c r="GT187" s="31"/>
      <c r="GU187" s="31"/>
      <c r="GV187" s="31"/>
      <c r="GW187" s="31"/>
      <c r="GX187" s="31"/>
      <c r="GY187" s="31"/>
      <c r="GZ187" s="31"/>
      <c r="HA187" s="31"/>
      <c r="HB187" s="31"/>
      <c r="HC187" s="31"/>
      <c r="HD187" s="31"/>
      <c r="HE187" s="31"/>
      <c r="HF187" s="31"/>
      <c r="HG187" s="31"/>
      <c r="HH187" s="31"/>
      <c r="HI187" s="31"/>
      <c r="HJ187" s="31"/>
      <c r="HK187" s="31"/>
      <c r="HL187" s="31"/>
      <c r="HM187" s="31"/>
      <c r="HN187" s="31"/>
      <c r="HO187" s="31"/>
      <c r="HP187" s="31"/>
      <c r="HQ187" s="31"/>
      <c r="HR187" s="31"/>
      <c r="HS187" s="31"/>
      <c r="HT187" s="31"/>
      <c r="HU187" s="31"/>
      <c r="HV187" s="31"/>
      <c r="HW187" s="31"/>
      <c r="HX187" s="31"/>
      <c r="HY187" s="31"/>
      <c r="HZ187" s="31"/>
    </row>
    <row r="188" spans="1:234" ht="14.25" customHeight="1" x14ac:dyDescent="0.35">
      <c r="A188" s="88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30"/>
      <c r="U188" s="27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  <c r="BS188" s="31"/>
      <c r="BT188" s="31"/>
      <c r="BU188" s="31"/>
      <c r="BV188" s="31"/>
      <c r="BW188" s="31"/>
      <c r="BX188" s="31"/>
      <c r="BY188" s="31"/>
      <c r="BZ188" s="31"/>
      <c r="CA188" s="31"/>
      <c r="CB188" s="31"/>
      <c r="CC188" s="31"/>
      <c r="CD188" s="31"/>
      <c r="CE188" s="31"/>
      <c r="CF188" s="31"/>
      <c r="CG188" s="31"/>
      <c r="CH188" s="31"/>
      <c r="CI188" s="31"/>
      <c r="CJ188" s="31"/>
      <c r="CK188" s="31"/>
      <c r="CL188" s="31"/>
      <c r="CM188" s="31"/>
      <c r="CN188" s="31"/>
      <c r="CO188" s="31"/>
      <c r="CP188" s="31"/>
      <c r="CQ188" s="31"/>
      <c r="CR188" s="31"/>
      <c r="CS188" s="31"/>
      <c r="CT188" s="31"/>
      <c r="CU188" s="31"/>
      <c r="CV188" s="31"/>
      <c r="CW188" s="31"/>
      <c r="CX188" s="31"/>
      <c r="CY188" s="31"/>
      <c r="CZ188" s="31"/>
      <c r="DA188" s="31"/>
      <c r="DB188" s="31"/>
      <c r="DC188" s="31"/>
      <c r="DD188" s="31"/>
      <c r="DE188" s="31"/>
      <c r="DF188" s="31"/>
      <c r="DG188" s="31"/>
      <c r="DH188" s="31"/>
      <c r="DI188" s="31"/>
      <c r="DJ188" s="31"/>
      <c r="DK188" s="31"/>
      <c r="DL188" s="31"/>
      <c r="DM188" s="31"/>
      <c r="DN188" s="31"/>
      <c r="DO188" s="31"/>
      <c r="DP188" s="31"/>
      <c r="DQ188" s="31"/>
      <c r="DR188" s="31"/>
      <c r="DS188" s="31"/>
      <c r="DT188" s="31"/>
      <c r="DU188" s="31"/>
      <c r="DV188" s="31"/>
      <c r="DW188" s="31"/>
      <c r="DX188" s="31"/>
      <c r="DY188" s="31"/>
      <c r="DZ188" s="31"/>
      <c r="EA188" s="31"/>
      <c r="EB188" s="31"/>
      <c r="EC188" s="31"/>
      <c r="ED188" s="31"/>
      <c r="EE188" s="31"/>
      <c r="EF188" s="31"/>
      <c r="EG188" s="31"/>
      <c r="EH188" s="31"/>
      <c r="EI188" s="31"/>
      <c r="EJ188" s="31"/>
      <c r="EK188" s="31"/>
      <c r="EL188" s="31"/>
      <c r="EM188" s="31"/>
      <c r="EN188" s="31"/>
      <c r="EO188" s="31"/>
      <c r="EP188" s="31"/>
      <c r="EQ188" s="31"/>
      <c r="ER188" s="31"/>
      <c r="ES188" s="31"/>
      <c r="ET188" s="31"/>
      <c r="EU188" s="31"/>
      <c r="EV188" s="31"/>
      <c r="EW188" s="31"/>
      <c r="EX188" s="31"/>
      <c r="EY188" s="31"/>
      <c r="EZ188" s="31"/>
      <c r="FA188" s="31"/>
      <c r="FB188" s="31"/>
      <c r="FC188" s="31"/>
      <c r="FD188" s="31"/>
      <c r="FE188" s="31"/>
      <c r="FF188" s="31"/>
      <c r="FG188" s="31"/>
      <c r="FH188" s="31"/>
      <c r="FI188" s="31"/>
      <c r="FJ188" s="31"/>
      <c r="FK188" s="31"/>
      <c r="FL188" s="31"/>
      <c r="FM188" s="31"/>
      <c r="FN188" s="31"/>
      <c r="FO188" s="31"/>
      <c r="FP188" s="31"/>
      <c r="FQ188" s="31"/>
      <c r="FR188" s="31"/>
      <c r="FS188" s="31"/>
      <c r="FT188" s="31"/>
      <c r="FU188" s="31"/>
      <c r="FV188" s="31"/>
      <c r="FW188" s="31"/>
      <c r="FX188" s="31"/>
      <c r="FY188" s="31"/>
      <c r="FZ188" s="31"/>
      <c r="GA188" s="31"/>
      <c r="GB188" s="31"/>
      <c r="GC188" s="31"/>
      <c r="GD188" s="31"/>
      <c r="GE188" s="31"/>
      <c r="GF188" s="31"/>
      <c r="GG188" s="31"/>
      <c r="GH188" s="31"/>
      <c r="GI188" s="31"/>
      <c r="GJ188" s="31"/>
      <c r="GK188" s="31"/>
      <c r="GL188" s="31"/>
      <c r="GM188" s="31"/>
      <c r="GN188" s="31"/>
      <c r="GO188" s="31"/>
      <c r="GP188" s="31"/>
      <c r="GQ188" s="31"/>
      <c r="GR188" s="31"/>
      <c r="GS188" s="31"/>
      <c r="GT188" s="31"/>
      <c r="GU188" s="31"/>
      <c r="GV188" s="31"/>
      <c r="GW188" s="31"/>
      <c r="GX188" s="31"/>
      <c r="GY188" s="31"/>
      <c r="GZ188" s="31"/>
      <c r="HA188" s="31"/>
      <c r="HB188" s="31"/>
      <c r="HC188" s="31"/>
      <c r="HD188" s="31"/>
      <c r="HE188" s="31"/>
      <c r="HF188" s="31"/>
      <c r="HG188" s="31"/>
      <c r="HH188" s="31"/>
      <c r="HI188" s="31"/>
      <c r="HJ188" s="31"/>
      <c r="HK188" s="31"/>
      <c r="HL188" s="31"/>
      <c r="HM188" s="31"/>
      <c r="HN188" s="31"/>
      <c r="HO188" s="31"/>
      <c r="HP188" s="31"/>
      <c r="HQ188" s="31"/>
      <c r="HR188" s="31"/>
      <c r="HS188" s="31"/>
      <c r="HT188" s="31"/>
      <c r="HU188" s="31"/>
      <c r="HV188" s="31"/>
      <c r="HW188" s="31"/>
      <c r="HX188" s="31"/>
      <c r="HY188" s="31"/>
      <c r="HZ188" s="31"/>
    </row>
    <row r="189" spans="1:234" ht="14.25" customHeight="1" x14ac:dyDescent="0.35">
      <c r="A189" s="88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30"/>
      <c r="U189" s="27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  <c r="BS189" s="31"/>
      <c r="BT189" s="31"/>
      <c r="BU189" s="31"/>
      <c r="BV189" s="31"/>
      <c r="BW189" s="31"/>
      <c r="BX189" s="31"/>
      <c r="BY189" s="31"/>
      <c r="BZ189" s="31"/>
      <c r="CA189" s="31"/>
      <c r="CB189" s="31"/>
      <c r="CC189" s="31"/>
      <c r="CD189" s="31"/>
      <c r="CE189" s="31"/>
      <c r="CF189" s="31"/>
      <c r="CG189" s="31"/>
      <c r="CH189" s="31"/>
      <c r="CI189" s="31"/>
      <c r="CJ189" s="31"/>
      <c r="CK189" s="31"/>
      <c r="CL189" s="31"/>
      <c r="CM189" s="31"/>
      <c r="CN189" s="31"/>
      <c r="CO189" s="31"/>
      <c r="CP189" s="31"/>
      <c r="CQ189" s="31"/>
      <c r="CR189" s="31"/>
      <c r="CS189" s="31"/>
      <c r="CT189" s="31"/>
      <c r="CU189" s="31"/>
      <c r="CV189" s="31"/>
      <c r="CW189" s="31"/>
      <c r="CX189" s="31"/>
      <c r="CY189" s="31"/>
      <c r="CZ189" s="31"/>
      <c r="DA189" s="31"/>
      <c r="DB189" s="31"/>
      <c r="DC189" s="31"/>
      <c r="DD189" s="31"/>
      <c r="DE189" s="31"/>
      <c r="DF189" s="31"/>
      <c r="DG189" s="31"/>
      <c r="DH189" s="31"/>
      <c r="DI189" s="31"/>
      <c r="DJ189" s="31"/>
      <c r="DK189" s="31"/>
      <c r="DL189" s="31"/>
      <c r="DM189" s="31"/>
      <c r="DN189" s="31"/>
      <c r="DO189" s="31"/>
      <c r="DP189" s="31"/>
      <c r="DQ189" s="31"/>
      <c r="DR189" s="31"/>
      <c r="DS189" s="31"/>
      <c r="DT189" s="31"/>
      <c r="DU189" s="31"/>
      <c r="DV189" s="31"/>
      <c r="DW189" s="31"/>
      <c r="DX189" s="31"/>
      <c r="DY189" s="31"/>
      <c r="DZ189" s="31"/>
      <c r="EA189" s="31"/>
      <c r="EB189" s="31"/>
      <c r="EC189" s="31"/>
      <c r="ED189" s="31"/>
      <c r="EE189" s="31"/>
      <c r="EF189" s="31"/>
      <c r="EG189" s="31"/>
      <c r="EH189" s="31"/>
      <c r="EI189" s="31"/>
      <c r="EJ189" s="31"/>
      <c r="EK189" s="31"/>
      <c r="EL189" s="31"/>
      <c r="EM189" s="31"/>
      <c r="EN189" s="31"/>
      <c r="EO189" s="31"/>
      <c r="EP189" s="31"/>
      <c r="EQ189" s="31"/>
      <c r="ER189" s="31"/>
      <c r="ES189" s="31"/>
      <c r="ET189" s="31"/>
      <c r="EU189" s="31"/>
      <c r="EV189" s="31"/>
      <c r="EW189" s="31"/>
      <c r="EX189" s="31"/>
      <c r="EY189" s="31"/>
      <c r="EZ189" s="31"/>
      <c r="FA189" s="31"/>
      <c r="FB189" s="31"/>
      <c r="FC189" s="31"/>
      <c r="FD189" s="31"/>
      <c r="FE189" s="31"/>
      <c r="FF189" s="31"/>
      <c r="FG189" s="31"/>
      <c r="FH189" s="31"/>
      <c r="FI189" s="31"/>
      <c r="FJ189" s="31"/>
      <c r="FK189" s="31"/>
      <c r="FL189" s="31"/>
      <c r="FM189" s="31"/>
      <c r="FN189" s="31"/>
      <c r="FO189" s="31"/>
      <c r="FP189" s="31"/>
      <c r="FQ189" s="31"/>
      <c r="FR189" s="31"/>
      <c r="FS189" s="31"/>
      <c r="FT189" s="31"/>
      <c r="FU189" s="31"/>
      <c r="FV189" s="31"/>
      <c r="FW189" s="31"/>
      <c r="FX189" s="31"/>
      <c r="FY189" s="31"/>
      <c r="FZ189" s="31"/>
      <c r="GA189" s="31"/>
      <c r="GB189" s="31"/>
      <c r="GC189" s="31"/>
      <c r="GD189" s="31"/>
      <c r="GE189" s="31"/>
      <c r="GF189" s="31"/>
      <c r="GG189" s="31"/>
      <c r="GH189" s="31"/>
      <c r="GI189" s="31"/>
      <c r="GJ189" s="31"/>
      <c r="GK189" s="31"/>
      <c r="GL189" s="31"/>
      <c r="GM189" s="31"/>
      <c r="GN189" s="31"/>
      <c r="GO189" s="31"/>
      <c r="GP189" s="31"/>
      <c r="GQ189" s="31"/>
      <c r="GR189" s="31"/>
      <c r="GS189" s="31"/>
      <c r="GT189" s="31"/>
      <c r="GU189" s="31"/>
      <c r="GV189" s="31"/>
      <c r="GW189" s="31"/>
      <c r="GX189" s="31"/>
      <c r="GY189" s="31"/>
      <c r="GZ189" s="31"/>
      <c r="HA189" s="31"/>
      <c r="HB189" s="31"/>
      <c r="HC189" s="31"/>
      <c r="HD189" s="31"/>
      <c r="HE189" s="31"/>
      <c r="HF189" s="31"/>
      <c r="HG189" s="31"/>
      <c r="HH189" s="31"/>
      <c r="HI189" s="31"/>
      <c r="HJ189" s="31"/>
      <c r="HK189" s="31"/>
      <c r="HL189" s="31"/>
      <c r="HM189" s="31"/>
      <c r="HN189" s="31"/>
      <c r="HO189" s="31"/>
      <c r="HP189" s="31"/>
      <c r="HQ189" s="31"/>
      <c r="HR189" s="31"/>
      <c r="HS189" s="31"/>
      <c r="HT189" s="31"/>
      <c r="HU189" s="31"/>
      <c r="HV189" s="31"/>
      <c r="HW189" s="31"/>
      <c r="HX189" s="31"/>
      <c r="HY189" s="31"/>
      <c r="HZ189" s="31"/>
    </row>
    <row r="190" spans="1:234" ht="14.25" customHeight="1" x14ac:dyDescent="0.35">
      <c r="A190" s="88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30"/>
      <c r="U190" s="27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31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  <c r="BS190" s="31"/>
      <c r="BT190" s="31"/>
      <c r="BU190" s="31"/>
      <c r="BV190" s="31"/>
      <c r="BW190" s="31"/>
      <c r="BX190" s="31"/>
      <c r="BY190" s="31"/>
      <c r="BZ190" s="31"/>
      <c r="CA190" s="31"/>
      <c r="CB190" s="31"/>
      <c r="CC190" s="31"/>
      <c r="CD190" s="31"/>
      <c r="CE190" s="31"/>
      <c r="CF190" s="31"/>
      <c r="CG190" s="31"/>
      <c r="CH190" s="31"/>
      <c r="CI190" s="31"/>
      <c r="CJ190" s="31"/>
      <c r="CK190" s="31"/>
      <c r="CL190" s="31"/>
      <c r="CM190" s="31"/>
      <c r="CN190" s="31"/>
      <c r="CO190" s="31"/>
      <c r="CP190" s="31"/>
      <c r="CQ190" s="31"/>
      <c r="CR190" s="31"/>
      <c r="CS190" s="31"/>
      <c r="CT190" s="31"/>
      <c r="CU190" s="31"/>
      <c r="CV190" s="31"/>
      <c r="CW190" s="31"/>
      <c r="CX190" s="31"/>
      <c r="CY190" s="31"/>
      <c r="CZ190" s="31"/>
      <c r="DA190" s="31"/>
      <c r="DB190" s="31"/>
      <c r="DC190" s="31"/>
      <c r="DD190" s="31"/>
      <c r="DE190" s="31"/>
      <c r="DF190" s="31"/>
      <c r="DG190" s="31"/>
      <c r="DH190" s="31"/>
      <c r="DI190" s="31"/>
      <c r="DJ190" s="31"/>
      <c r="DK190" s="31"/>
      <c r="DL190" s="31"/>
      <c r="DM190" s="31"/>
      <c r="DN190" s="31"/>
      <c r="DO190" s="31"/>
      <c r="DP190" s="31"/>
      <c r="DQ190" s="31"/>
      <c r="DR190" s="31"/>
      <c r="DS190" s="31"/>
      <c r="DT190" s="31"/>
      <c r="DU190" s="31"/>
      <c r="DV190" s="31"/>
      <c r="DW190" s="31"/>
      <c r="DX190" s="31"/>
      <c r="DY190" s="31"/>
      <c r="DZ190" s="31"/>
      <c r="EA190" s="31"/>
      <c r="EB190" s="31"/>
      <c r="EC190" s="31"/>
      <c r="ED190" s="31"/>
      <c r="EE190" s="31"/>
      <c r="EF190" s="31"/>
      <c r="EG190" s="31"/>
      <c r="EH190" s="31"/>
      <c r="EI190" s="31"/>
      <c r="EJ190" s="31"/>
      <c r="EK190" s="31"/>
      <c r="EL190" s="31"/>
      <c r="EM190" s="31"/>
      <c r="EN190" s="31"/>
      <c r="EO190" s="31"/>
      <c r="EP190" s="31"/>
      <c r="EQ190" s="31"/>
      <c r="ER190" s="31"/>
      <c r="ES190" s="31"/>
      <c r="ET190" s="31"/>
      <c r="EU190" s="31"/>
      <c r="EV190" s="31"/>
      <c r="EW190" s="31"/>
      <c r="EX190" s="31"/>
      <c r="EY190" s="31"/>
      <c r="EZ190" s="31"/>
      <c r="FA190" s="31"/>
      <c r="FB190" s="31"/>
      <c r="FC190" s="31"/>
      <c r="FD190" s="31"/>
      <c r="FE190" s="31"/>
      <c r="FF190" s="31"/>
      <c r="FG190" s="31"/>
      <c r="FH190" s="31"/>
      <c r="FI190" s="31"/>
      <c r="FJ190" s="31"/>
      <c r="FK190" s="31"/>
      <c r="FL190" s="31"/>
      <c r="FM190" s="31"/>
      <c r="FN190" s="31"/>
      <c r="FO190" s="31"/>
      <c r="FP190" s="31"/>
      <c r="FQ190" s="31"/>
      <c r="FR190" s="31"/>
      <c r="FS190" s="31"/>
      <c r="FT190" s="31"/>
      <c r="FU190" s="31"/>
      <c r="FV190" s="31"/>
      <c r="FW190" s="31"/>
      <c r="FX190" s="31"/>
      <c r="FY190" s="31"/>
      <c r="FZ190" s="31"/>
      <c r="GA190" s="31"/>
      <c r="GB190" s="31"/>
      <c r="GC190" s="31"/>
      <c r="GD190" s="31"/>
      <c r="GE190" s="31"/>
      <c r="GF190" s="31"/>
      <c r="GG190" s="31"/>
      <c r="GH190" s="31"/>
      <c r="GI190" s="31"/>
      <c r="GJ190" s="31"/>
      <c r="GK190" s="31"/>
      <c r="GL190" s="31"/>
      <c r="GM190" s="31"/>
      <c r="GN190" s="31"/>
      <c r="GO190" s="31"/>
      <c r="GP190" s="31"/>
      <c r="GQ190" s="31"/>
      <c r="GR190" s="31"/>
      <c r="GS190" s="31"/>
      <c r="GT190" s="31"/>
      <c r="GU190" s="31"/>
      <c r="GV190" s="31"/>
      <c r="GW190" s="31"/>
      <c r="GX190" s="31"/>
      <c r="GY190" s="31"/>
      <c r="GZ190" s="31"/>
      <c r="HA190" s="31"/>
      <c r="HB190" s="31"/>
      <c r="HC190" s="31"/>
      <c r="HD190" s="31"/>
      <c r="HE190" s="31"/>
      <c r="HF190" s="31"/>
      <c r="HG190" s="31"/>
      <c r="HH190" s="31"/>
      <c r="HI190" s="31"/>
      <c r="HJ190" s="31"/>
      <c r="HK190" s="31"/>
      <c r="HL190" s="31"/>
      <c r="HM190" s="31"/>
      <c r="HN190" s="31"/>
      <c r="HO190" s="31"/>
      <c r="HP190" s="31"/>
      <c r="HQ190" s="31"/>
      <c r="HR190" s="31"/>
      <c r="HS190" s="31"/>
      <c r="HT190" s="31"/>
      <c r="HU190" s="31"/>
      <c r="HV190" s="31"/>
      <c r="HW190" s="31"/>
      <c r="HX190" s="31"/>
      <c r="HY190" s="31"/>
      <c r="HZ190" s="31"/>
    </row>
    <row r="191" spans="1:234" ht="14.25" customHeight="1" x14ac:dyDescent="0.35">
      <c r="A191" s="88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30"/>
      <c r="U191" s="27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31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  <c r="BS191" s="31"/>
      <c r="BT191" s="31"/>
      <c r="BU191" s="31"/>
      <c r="BV191" s="31"/>
      <c r="BW191" s="31"/>
      <c r="BX191" s="31"/>
      <c r="BY191" s="31"/>
      <c r="BZ191" s="31"/>
      <c r="CA191" s="31"/>
      <c r="CB191" s="31"/>
      <c r="CC191" s="31"/>
      <c r="CD191" s="31"/>
      <c r="CE191" s="31"/>
      <c r="CF191" s="31"/>
      <c r="CG191" s="31"/>
      <c r="CH191" s="31"/>
      <c r="CI191" s="31"/>
      <c r="CJ191" s="31"/>
      <c r="CK191" s="31"/>
      <c r="CL191" s="31"/>
      <c r="CM191" s="31"/>
      <c r="CN191" s="31"/>
      <c r="CO191" s="31"/>
      <c r="CP191" s="31"/>
      <c r="CQ191" s="31"/>
      <c r="CR191" s="31"/>
      <c r="CS191" s="31"/>
      <c r="CT191" s="31"/>
      <c r="CU191" s="31"/>
      <c r="CV191" s="31"/>
      <c r="CW191" s="31"/>
      <c r="CX191" s="31"/>
      <c r="CY191" s="31"/>
      <c r="CZ191" s="31"/>
      <c r="DA191" s="31"/>
      <c r="DB191" s="31"/>
      <c r="DC191" s="31"/>
      <c r="DD191" s="31"/>
      <c r="DE191" s="31"/>
      <c r="DF191" s="31"/>
      <c r="DG191" s="31"/>
      <c r="DH191" s="31"/>
      <c r="DI191" s="31"/>
      <c r="DJ191" s="31"/>
      <c r="DK191" s="31"/>
      <c r="DL191" s="31"/>
      <c r="DM191" s="31"/>
      <c r="DN191" s="31"/>
      <c r="DO191" s="31"/>
      <c r="DP191" s="31"/>
      <c r="DQ191" s="31"/>
      <c r="DR191" s="31"/>
      <c r="DS191" s="31"/>
      <c r="DT191" s="31"/>
      <c r="DU191" s="31"/>
      <c r="DV191" s="31"/>
      <c r="DW191" s="31"/>
      <c r="DX191" s="31"/>
      <c r="DY191" s="31"/>
      <c r="DZ191" s="31"/>
      <c r="EA191" s="31"/>
      <c r="EB191" s="31"/>
      <c r="EC191" s="31"/>
      <c r="ED191" s="31"/>
      <c r="EE191" s="31"/>
      <c r="EF191" s="31"/>
      <c r="EG191" s="31"/>
      <c r="EH191" s="31"/>
      <c r="EI191" s="31"/>
      <c r="EJ191" s="31"/>
      <c r="EK191" s="31"/>
      <c r="EL191" s="31"/>
      <c r="EM191" s="31"/>
      <c r="EN191" s="31"/>
      <c r="EO191" s="31"/>
      <c r="EP191" s="31"/>
      <c r="EQ191" s="31"/>
      <c r="ER191" s="31"/>
      <c r="ES191" s="31"/>
      <c r="ET191" s="31"/>
      <c r="EU191" s="31"/>
      <c r="EV191" s="31"/>
      <c r="EW191" s="31"/>
      <c r="EX191" s="31"/>
      <c r="EY191" s="31"/>
      <c r="EZ191" s="31"/>
      <c r="FA191" s="31"/>
      <c r="FB191" s="31"/>
      <c r="FC191" s="31"/>
      <c r="FD191" s="31"/>
      <c r="FE191" s="31"/>
      <c r="FF191" s="31"/>
      <c r="FG191" s="31"/>
      <c r="FH191" s="31"/>
      <c r="FI191" s="31"/>
      <c r="FJ191" s="31"/>
      <c r="FK191" s="31"/>
      <c r="FL191" s="31"/>
      <c r="FM191" s="31"/>
      <c r="FN191" s="31"/>
      <c r="FO191" s="31"/>
      <c r="FP191" s="31"/>
      <c r="FQ191" s="31"/>
      <c r="FR191" s="31"/>
      <c r="FS191" s="31"/>
      <c r="FT191" s="31"/>
      <c r="FU191" s="31"/>
      <c r="FV191" s="31"/>
      <c r="FW191" s="31"/>
      <c r="FX191" s="31"/>
      <c r="FY191" s="31"/>
      <c r="FZ191" s="31"/>
      <c r="GA191" s="31"/>
      <c r="GB191" s="31"/>
      <c r="GC191" s="31"/>
      <c r="GD191" s="31"/>
      <c r="GE191" s="31"/>
      <c r="GF191" s="31"/>
      <c r="GG191" s="31"/>
      <c r="GH191" s="31"/>
      <c r="GI191" s="31"/>
      <c r="GJ191" s="31"/>
      <c r="GK191" s="31"/>
      <c r="GL191" s="31"/>
      <c r="GM191" s="31"/>
      <c r="GN191" s="31"/>
      <c r="GO191" s="31"/>
      <c r="GP191" s="31"/>
      <c r="GQ191" s="31"/>
      <c r="GR191" s="31"/>
      <c r="GS191" s="31"/>
      <c r="GT191" s="31"/>
      <c r="GU191" s="31"/>
      <c r="GV191" s="31"/>
      <c r="GW191" s="31"/>
      <c r="GX191" s="31"/>
      <c r="GY191" s="31"/>
      <c r="GZ191" s="31"/>
      <c r="HA191" s="31"/>
      <c r="HB191" s="31"/>
      <c r="HC191" s="31"/>
      <c r="HD191" s="31"/>
      <c r="HE191" s="31"/>
      <c r="HF191" s="31"/>
      <c r="HG191" s="31"/>
      <c r="HH191" s="31"/>
      <c r="HI191" s="31"/>
      <c r="HJ191" s="31"/>
      <c r="HK191" s="31"/>
      <c r="HL191" s="31"/>
      <c r="HM191" s="31"/>
      <c r="HN191" s="31"/>
      <c r="HO191" s="31"/>
      <c r="HP191" s="31"/>
      <c r="HQ191" s="31"/>
      <c r="HR191" s="31"/>
      <c r="HS191" s="31"/>
      <c r="HT191" s="31"/>
      <c r="HU191" s="31"/>
      <c r="HV191" s="31"/>
      <c r="HW191" s="31"/>
      <c r="HX191" s="31"/>
      <c r="HY191" s="31"/>
      <c r="HZ191" s="31"/>
    </row>
    <row r="192" spans="1:234" ht="14.25" customHeight="1" x14ac:dyDescent="0.35">
      <c r="A192" s="88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30"/>
      <c r="U192" s="27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31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  <c r="BS192" s="31"/>
      <c r="BT192" s="31"/>
      <c r="BU192" s="31"/>
      <c r="BV192" s="31"/>
      <c r="BW192" s="31"/>
      <c r="BX192" s="31"/>
      <c r="BY192" s="31"/>
      <c r="BZ192" s="31"/>
      <c r="CA192" s="31"/>
      <c r="CB192" s="31"/>
      <c r="CC192" s="31"/>
      <c r="CD192" s="31"/>
      <c r="CE192" s="31"/>
      <c r="CF192" s="31"/>
      <c r="CG192" s="31"/>
      <c r="CH192" s="31"/>
      <c r="CI192" s="31"/>
      <c r="CJ192" s="31"/>
      <c r="CK192" s="31"/>
      <c r="CL192" s="31"/>
      <c r="CM192" s="31"/>
      <c r="CN192" s="31"/>
      <c r="CO192" s="31"/>
      <c r="CP192" s="31"/>
      <c r="CQ192" s="31"/>
      <c r="CR192" s="31"/>
      <c r="CS192" s="31"/>
      <c r="CT192" s="31"/>
      <c r="CU192" s="31"/>
      <c r="CV192" s="31"/>
      <c r="CW192" s="31"/>
      <c r="CX192" s="31"/>
      <c r="CY192" s="31"/>
      <c r="CZ192" s="31"/>
      <c r="DA192" s="31"/>
      <c r="DB192" s="31"/>
      <c r="DC192" s="31"/>
      <c r="DD192" s="31"/>
      <c r="DE192" s="31"/>
      <c r="DF192" s="31"/>
      <c r="DG192" s="31"/>
      <c r="DH192" s="31"/>
      <c r="DI192" s="31"/>
      <c r="DJ192" s="31"/>
      <c r="DK192" s="31"/>
      <c r="DL192" s="31"/>
      <c r="DM192" s="31"/>
      <c r="DN192" s="31"/>
      <c r="DO192" s="31"/>
      <c r="DP192" s="31"/>
      <c r="DQ192" s="31"/>
      <c r="DR192" s="31"/>
      <c r="DS192" s="31"/>
      <c r="DT192" s="31"/>
      <c r="DU192" s="31"/>
      <c r="DV192" s="31"/>
      <c r="DW192" s="31"/>
      <c r="DX192" s="31"/>
      <c r="DY192" s="31"/>
      <c r="DZ192" s="31"/>
      <c r="EA192" s="31"/>
      <c r="EB192" s="31"/>
      <c r="EC192" s="31"/>
      <c r="ED192" s="31"/>
      <c r="EE192" s="31"/>
      <c r="EF192" s="31"/>
      <c r="EG192" s="31"/>
      <c r="EH192" s="31"/>
      <c r="EI192" s="31"/>
      <c r="EJ192" s="31"/>
      <c r="EK192" s="31"/>
      <c r="EL192" s="31"/>
      <c r="EM192" s="31"/>
      <c r="EN192" s="31"/>
      <c r="EO192" s="31"/>
      <c r="EP192" s="31"/>
      <c r="EQ192" s="31"/>
      <c r="ER192" s="31"/>
      <c r="ES192" s="31"/>
      <c r="ET192" s="31"/>
      <c r="EU192" s="31"/>
      <c r="EV192" s="31"/>
      <c r="EW192" s="31"/>
      <c r="EX192" s="31"/>
      <c r="EY192" s="31"/>
      <c r="EZ192" s="31"/>
      <c r="FA192" s="31"/>
      <c r="FB192" s="31"/>
      <c r="FC192" s="31"/>
      <c r="FD192" s="31"/>
      <c r="FE192" s="31"/>
      <c r="FF192" s="31"/>
      <c r="FG192" s="31"/>
      <c r="FH192" s="31"/>
      <c r="FI192" s="31"/>
      <c r="FJ192" s="31"/>
      <c r="FK192" s="31"/>
      <c r="FL192" s="31"/>
      <c r="FM192" s="31"/>
      <c r="FN192" s="31"/>
      <c r="FO192" s="31"/>
      <c r="FP192" s="31"/>
      <c r="FQ192" s="31"/>
      <c r="FR192" s="31"/>
      <c r="FS192" s="31"/>
      <c r="FT192" s="31"/>
      <c r="FU192" s="31"/>
      <c r="FV192" s="31"/>
      <c r="FW192" s="31"/>
      <c r="FX192" s="31"/>
      <c r="FY192" s="31"/>
      <c r="FZ192" s="31"/>
      <c r="GA192" s="31"/>
      <c r="GB192" s="31"/>
      <c r="GC192" s="31"/>
      <c r="GD192" s="31"/>
      <c r="GE192" s="31"/>
      <c r="GF192" s="31"/>
      <c r="GG192" s="31"/>
      <c r="GH192" s="31"/>
      <c r="GI192" s="31"/>
      <c r="GJ192" s="31"/>
      <c r="GK192" s="31"/>
      <c r="GL192" s="31"/>
      <c r="GM192" s="31"/>
      <c r="GN192" s="31"/>
      <c r="GO192" s="31"/>
      <c r="GP192" s="31"/>
      <c r="GQ192" s="31"/>
      <c r="GR192" s="31"/>
      <c r="GS192" s="31"/>
      <c r="GT192" s="31"/>
      <c r="GU192" s="31"/>
      <c r="GV192" s="31"/>
      <c r="GW192" s="31"/>
      <c r="GX192" s="31"/>
      <c r="GY192" s="31"/>
      <c r="GZ192" s="31"/>
      <c r="HA192" s="31"/>
      <c r="HB192" s="31"/>
      <c r="HC192" s="31"/>
      <c r="HD192" s="31"/>
      <c r="HE192" s="31"/>
      <c r="HF192" s="31"/>
      <c r="HG192" s="31"/>
      <c r="HH192" s="31"/>
      <c r="HI192" s="31"/>
      <c r="HJ192" s="31"/>
      <c r="HK192" s="31"/>
      <c r="HL192" s="31"/>
      <c r="HM192" s="31"/>
      <c r="HN192" s="31"/>
      <c r="HO192" s="31"/>
      <c r="HP192" s="31"/>
      <c r="HQ192" s="31"/>
      <c r="HR192" s="31"/>
      <c r="HS192" s="31"/>
      <c r="HT192" s="31"/>
      <c r="HU192" s="31"/>
      <c r="HV192" s="31"/>
      <c r="HW192" s="31"/>
      <c r="HX192" s="31"/>
      <c r="HY192" s="31"/>
      <c r="HZ192" s="31"/>
    </row>
    <row r="193" spans="1:234" ht="14.25" customHeight="1" x14ac:dyDescent="0.35">
      <c r="A193" s="88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30"/>
      <c r="U193" s="27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  <c r="BS193" s="31"/>
      <c r="BT193" s="31"/>
      <c r="BU193" s="31"/>
      <c r="BV193" s="31"/>
      <c r="BW193" s="31"/>
      <c r="BX193" s="31"/>
      <c r="BY193" s="31"/>
      <c r="BZ193" s="31"/>
      <c r="CA193" s="31"/>
      <c r="CB193" s="31"/>
      <c r="CC193" s="31"/>
      <c r="CD193" s="31"/>
      <c r="CE193" s="31"/>
      <c r="CF193" s="31"/>
      <c r="CG193" s="31"/>
      <c r="CH193" s="31"/>
      <c r="CI193" s="31"/>
      <c r="CJ193" s="31"/>
      <c r="CK193" s="31"/>
      <c r="CL193" s="31"/>
      <c r="CM193" s="31"/>
      <c r="CN193" s="31"/>
      <c r="CO193" s="31"/>
      <c r="CP193" s="31"/>
      <c r="CQ193" s="31"/>
      <c r="CR193" s="31"/>
      <c r="CS193" s="31"/>
      <c r="CT193" s="31"/>
      <c r="CU193" s="31"/>
      <c r="CV193" s="31"/>
      <c r="CW193" s="31"/>
      <c r="CX193" s="31"/>
      <c r="CY193" s="31"/>
      <c r="CZ193" s="31"/>
      <c r="DA193" s="31"/>
      <c r="DB193" s="31"/>
      <c r="DC193" s="31"/>
      <c r="DD193" s="31"/>
      <c r="DE193" s="31"/>
      <c r="DF193" s="31"/>
      <c r="DG193" s="31"/>
      <c r="DH193" s="31"/>
      <c r="DI193" s="31"/>
      <c r="DJ193" s="31"/>
      <c r="DK193" s="31"/>
      <c r="DL193" s="31"/>
      <c r="DM193" s="31"/>
      <c r="DN193" s="31"/>
      <c r="DO193" s="31"/>
      <c r="DP193" s="31"/>
      <c r="DQ193" s="31"/>
      <c r="DR193" s="31"/>
      <c r="DS193" s="31"/>
      <c r="DT193" s="31"/>
      <c r="DU193" s="31"/>
      <c r="DV193" s="31"/>
      <c r="DW193" s="31"/>
      <c r="DX193" s="31"/>
      <c r="DY193" s="31"/>
      <c r="DZ193" s="31"/>
      <c r="EA193" s="31"/>
      <c r="EB193" s="31"/>
      <c r="EC193" s="31"/>
      <c r="ED193" s="31"/>
      <c r="EE193" s="31"/>
      <c r="EF193" s="31"/>
      <c r="EG193" s="31"/>
      <c r="EH193" s="31"/>
      <c r="EI193" s="31"/>
      <c r="EJ193" s="31"/>
      <c r="EK193" s="31"/>
      <c r="EL193" s="31"/>
      <c r="EM193" s="31"/>
      <c r="EN193" s="31"/>
      <c r="EO193" s="31"/>
      <c r="EP193" s="31"/>
      <c r="EQ193" s="31"/>
      <c r="ER193" s="31"/>
      <c r="ES193" s="31"/>
      <c r="ET193" s="31"/>
      <c r="EU193" s="31"/>
      <c r="EV193" s="31"/>
      <c r="EW193" s="31"/>
      <c r="EX193" s="31"/>
      <c r="EY193" s="31"/>
      <c r="EZ193" s="31"/>
      <c r="FA193" s="31"/>
      <c r="FB193" s="31"/>
      <c r="FC193" s="31"/>
      <c r="FD193" s="31"/>
      <c r="FE193" s="31"/>
      <c r="FF193" s="31"/>
      <c r="FG193" s="31"/>
      <c r="FH193" s="31"/>
      <c r="FI193" s="31"/>
      <c r="FJ193" s="31"/>
      <c r="FK193" s="31"/>
      <c r="FL193" s="31"/>
      <c r="FM193" s="31"/>
      <c r="FN193" s="31"/>
      <c r="FO193" s="31"/>
      <c r="FP193" s="31"/>
      <c r="FQ193" s="31"/>
      <c r="FR193" s="31"/>
      <c r="FS193" s="31"/>
      <c r="FT193" s="31"/>
      <c r="FU193" s="31"/>
      <c r="FV193" s="31"/>
      <c r="FW193" s="31"/>
      <c r="FX193" s="31"/>
      <c r="FY193" s="31"/>
      <c r="FZ193" s="31"/>
      <c r="GA193" s="31"/>
      <c r="GB193" s="31"/>
      <c r="GC193" s="31"/>
      <c r="GD193" s="31"/>
      <c r="GE193" s="31"/>
      <c r="GF193" s="31"/>
      <c r="GG193" s="31"/>
      <c r="GH193" s="31"/>
      <c r="GI193" s="31"/>
      <c r="GJ193" s="31"/>
      <c r="GK193" s="31"/>
      <c r="GL193" s="31"/>
      <c r="GM193" s="31"/>
      <c r="GN193" s="31"/>
      <c r="GO193" s="31"/>
      <c r="GP193" s="31"/>
      <c r="GQ193" s="31"/>
      <c r="GR193" s="31"/>
      <c r="GS193" s="31"/>
      <c r="GT193" s="31"/>
      <c r="GU193" s="31"/>
      <c r="GV193" s="31"/>
      <c r="GW193" s="31"/>
      <c r="GX193" s="31"/>
      <c r="GY193" s="31"/>
      <c r="GZ193" s="31"/>
      <c r="HA193" s="31"/>
      <c r="HB193" s="31"/>
      <c r="HC193" s="31"/>
      <c r="HD193" s="31"/>
      <c r="HE193" s="31"/>
      <c r="HF193" s="31"/>
      <c r="HG193" s="31"/>
      <c r="HH193" s="31"/>
      <c r="HI193" s="31"/>
      <c r="HJ193" s="31"/>
      <c r="HK193" s="31"/>
      <c r="HL193" s="31"/>
      <c r="HM193" s="31"/>
      <c r="HN193" s="31"/>
      <c r="HO193" s="31"/>
      <c r="HP193" s="31"/>
      <c r="HQ193" s="31"/>
      <c r="HR193" s="31"/>
      <c r="HS193" s="31"/>
      <c r="HT193" s="31"/>
      <c r="HU193" s="31"/>
      <c r="HV193" s="31"/>
      <c r="HW193" s="31"/>
      <c r="HX193" s="31"/>
      <c r="HY193" s="31"/>
      <c r="HZ193" s="31"/>
    </row>
    <row r="194" spans="1:234" ht="14.25" customHeight="1" x14ac:dyDescent="0.35">
      <c r="A194" s="88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30"/>
      <c r="U194" s="27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31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  <c r="BS194" s="31"/>
      <c r="BT194" s="31"/>
      <c r="BU194" s="31"/>
      <c r="BV194" s="31"/>
      <c r="BW194" s="31"/>
      <c r="BX194" s="31"/>
      <c r="BY194" s="31"/>
      <c r="BZ194" s="31"/>
      <c r="CA194" s="31"/>
      <c r="CB194" s="31"/>
      <c r="CC194" s="31"/>
      <c r="CD194" s="31"/>
      <c r="CE194" s="31"/>
      <c r="CF194" s="31"/>
      <c r="CG194" s="31"/>
      <c r="CH194" s="31"/>
      <c r="CI194" s="31"/>
      <c r="CJ194" s="31"/>
      <c r="CK194" s="31"/>
      <c r="CL194" s="31"/>
      <c r="CM194" s="31"/>
      <c r="CN194" s="31"/>
      <c r="CO194" s="31"/>
      <c r="CP194" s="31"/>
      <c r="CQ194" s="31"/>
      <c r="CR194" s="31"/>
      <c r="CS194" s="31"/>
      <c r="CT194" s="31"/>
      <c r="CU194" s="31"/>
      <c r="CV194" s="31"/>
      <c r="CW194" s="31"/>
      <c r="CX194" s="31"/>
      <c r="CY194" s="31"/>
      <c r="CZ194" s="31"/>
      <c r="DA194" s="31"/>
      <c r="DB194" s="31"/>
      <c r="DC194" s="31"/>
      <c r="DD194" s="31"/>
      <c r="DE194" s="31"/>
      <c r="DF194" s="31"/>
      <c r="DG194" s="31"/>
      <c r="DH194" s="31"/>
      <c r="DI194" s="31"/>
      <c r="DJ194" s="31"/>
      <c r="DK194" s="31"/>
      <c r="DL194" s="31"/>
      <c r="DM194" s="31"/>
      <c r="DN194" s="31"/>
      <c r="DO194" s="31"/>
      <c r="DP194" s="31"/>
      <c r="DQ194" s="31"/>
      <c r="DR194" s="31"/>
      <c r="DS194" s="31"/>
      <c r="DT194" s="31"/>
      <c r="DU194" s="31"/>
      <c r="DV194" s="31"/>
      <c r="DW194" s="31"/>
      <c r="DX194" s="31"/>
      <c r="DY194" s="31"/>
      <c r="DZ194" s="31"/>
      <c r="EA194" s="31"/>
      <c r="EB194" s="31"/>
      <c r="EC194" s="31"/>
      <c r="ED194" s="31"/>
      <c r="EE194" s="31"/>
      <c r="EF194" s="31"/>
      <c r="EG194" s="31"/>
      <c r="EH194" s="31"/>
      <c r="EI194" s="31"/>
      <c r="EJ194" s="31"/>
      <c r="EK194" s="31"/>
      <c r="EL194" s="31"/>
      <c r="EM194" s="31"/>
      <c r="EN194" s="31"/>
      <c r="EO194" s="31"/>
      <c r="EP194" s="31"/>
      <c r="EQ194" s="31"/>
      <c r="ER194" s="31"/>
      <c r="ES194" s="31"/>
      <c r="ET194" s="31"/>
      <c r="EU194" s="31"/>
      <c r="EV194" s="31"/>
      <c r="EW194" s="31"/>
      <c r="EX194" s="31"/>
      <c r="EY194" s="31"/>
      <c r="EZ194" s="31"/>
      <c r="FA194" s="31"/>
      <c r="FB194" s="31"/>
      <c r="FC194" s="31"/>
      <c r="FD194" s="31"/>
      <c r="FE194" s="31"/>
      <c r="FF194" s="31"/>
      <c r="FG194" s="31"/>
      <c r="FH194" s="31"/>
      <c r="FI194" s="31"/>
      <c r="FJ194" s="31"/>
      <c r="FK194" s="31"/>
      <c r="FL194" s="31"/>
      <c r="FM194" s="31"/>
      <c r="FN194" s="31"/>
      <c r="FO194" s="31"/>
      <c r="FP194" s="31"/>
      <c r="FQ194" s="31"/>
      <c r="FR194" s="31"/>
      <c r="FS194" s="31"/>
      <c r="FT194" s="31"/>
      <c r="FU194" s="31"/>
      <c r="FV194" s="31"/>
      <c r="FW194" s="31"/>
      <c r="FX194" s="31"/>
      <c r="FY194" s="31"/>
      <c r="FZ194" s="31"/>
      <c r="GA194" s="31"/>
      <c r="GB194" s="31"/>
      <c r="GC194" s="31"/>
      <c r="GD194" s="31"/>
      <c r="GE194" s="31"/>
      <c r="GF194" s="31"/>
      <c r="GG194" s="31"/>
      <c r="GH194" s="31"/>
      <c r="GI194" s="31"/>
      <c r="GJ194" s="31"/>
      <c r="GK194" s="31"/>
      <c r="GL194" s="31"/>
      <c r="GM194" s="31"/>
      <c r="GN194" s="31"/>
      <c r="GO194" s="31"/>
      <c r="GP194" s="31"/>
      <c r="GQ194" s="31"/>
      <c r="GR194" s="31"/>
      <c r="GS194" s="31"/>
      <c r="GT194" s="31"/>
      <c r="GU194" s="31"/>
      <c r="GV194" s="31"/>
      <c r="GW194" s="31"/>
      <c r="GX194" s="31"/>
      <c r="GY194" s="31"/>
      <c r="GZ194" s="31"/>
      <c r="HA194" s="31"/>
      <c r="HB194" s="31"/>
      <c r="HC194" s="31"/>
      <c r="HD194" s="31"/>
      <c r="HE194" s="31"/>
      <c r="HF194" s="31"/>
      <c r="HG194" s="31"/>
      <c r="HH194" s="31"/>
      <c r="HI194" s="31"/>
      <c r="HJ194" s="31"/>
      <c r="HK194" s="31"/>
      <c r="HL194" s="31"/>
      <c r="HM194" s="31"/>
      <c r="HN194" s="31"/>
      <c r="HO194" s="31"/>
      <c r="HP194" s="31"/>
      <c r="HQ194" s="31"/>
      <c r="HR194" s="31"/>
      <c r="HS194" s="31"/>
      <c r="HT194" s="31"/>
      <c r="HU194" s="31"/>
      <c r="HV194" s="31"/>
      <c r="HW194" s="31"/>
      <c r="HX194" s="31"/>
      <c r="HY194" s="31"/>
      <c r="HZ194" s="31"/>
    </row>
    <row r="195" spans="1:234" ht="14.25" customHeight="1" x14ac:dyDescent="0.35">
      <c r="A195" s="88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30"/>
      <c r="U195" s="27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  <c r="BS195" s="31"/>
      <c r="BT195" s="31"/>
      <c r="BU195" s="31"/>
      <c r="BV195" s="31"/>
      <c r="BW195" s="31"/>
      <c r="BX195" s="31"/>
      <c r="BY195" s="31"/>
      <c r="BZ195" s="31"/>
      <c r="CA195" s="31"/>
      <c r="CB195" s="31"/>
      <c r="CC195" s="31"/>
      <c r="CD195" s="31"/>
      <c r="CE195" s="31"/>
      <c r="CF195" s="31"/>
      <c r="CG195" s="31"/>
      <c r="CH195" s="31"/>
      <c r="CI195" s="31"/>
      <c r="CJ195" s="31"/>
      <c r="CK195" s="31"/>
      <c r="CL195" s="31"/>
      <c r="CM195" s="31"/>
      <c r="CN195" s="31"/>
      <c r="CO195" s="31"/>
      <c r="CP195" s="31"/>
      <c r="CQ195" s="31"/>
      <c r="CR195" s="31"/>
      <c r="CS195" s="31"/>
      <c r="CT195" s="31"/>
      <c r="CU195" s="31"/>
      <c r="CV195" s="31"/>
      <c r="CW195" s="31"/>
      <c r="CX195" s="31"/>
      <c r="CY195" s="31"/>
      <c r="CZ195" s="31"/>
      <c r="DA195" s="31"/>
      <c r="DB195" s="31"/>
      <c r="DC195" s="31"/>
      <c r="DD195" s="31"/>
      <c r="DE195" s="31"/>
      <c r="DF195" s="31"/>
      <c r="DG195" s="31"/>
      <c r="DH195" s="31"/>
      <c r="DI195" s="31"/>
      <c r="DJ195" s="31"/>
      <c r="DK195" s="31"/>
      <c r="DL195" s="31"/>
      <c r="DM195" s="31"/>
      <c r="DN195" s="31"/>
      <c r="DO195" s="31"/>
      <c r="DP195" s="31"/>
      <c r="DQ195" s="31"/>
      <c r="DR195" s="31"/>
      <c r="DS195" s="31"/>
      <c r="DT195" s="31"/>
      <c r="DU195" s="31"/>
      <c r="DV195" s="31"/>
      <c r="DW195" s="31"/>
      <c r="DX195" s="31"/>
      <c r="DY195" s="31"/>
      <c r="DZ195" s="31"/>
      <c r="EA195" s="31"/>
      <c r="EB195" s="31"/>
      <c r="EC195" s="31"/>
      <c r="ED195" s="31"/>
      <c r="EE195" s="31"/>
      <c r="EF195" s="31"/>
      <c r="EG195" s="31"/>
      <c r="EH195" s="31"/>
      <c r="EI195" s="31"/>
      <c r="EJ195" s="31"/>
      <c r="EK195" s="31"/>
      <c r="EL195" s="31"/>
      <c r="EM195" s="31"/>
      <c r="EN195" s="31"/>
      <c r="EO195" s="31"/>
      <c r="EP195" s="31"/>
      <c r="EQ195" s="31"/>
      <c r="ER195" s="31"/>
      <c r="ES195" s="31"/>
      <c r="ET195" s="31"/>
      <c r="EU195" s="31"/>
      <c r="EV195" s="31"/>
      <c r="EW195" s="31"/>
      <c r="EX195" s="31"/>
      <c r="EY195" s="31"/>
      <c r="EZ195" s="31"/>
      <c r="FA195" s="31"/>
      <c r="FB195" s="31"/>
      <c r="FC195" s="31"/>
      <c r="FD195" s="31"/>
      <c r="FE195" s="31"/>
      <c r="FF195" s="31"/>
      <c r="FG195" s="31"/>
      <c r="FH195" s="31"/>
      <c r="FI195" s="31"/>
      <c r="FJ195" s="31"/>
      <c r="FK195" s="31"/>
      <c r="FL195" s="31"/>
      <c r="FM195" s="31"/>
      <c r="FN195" s="31"/>
      <c r="FO195" s="31"/>
      <c r="FP195" s="31"/>
      <c r="FQ195" s="31"/>
      <c r="FR195" s="31"/>
      <c r="FS195" s="31"/>
      <c r="FT195" s="31"/>
      <c r="FU195" s="31"/>
      <c r="FV195" s="31"/>
      <c r="FW195" s="31"/>
      <c r="FX195" s="31"/>
      <c r="FY195" s="31"/>
      <c r="FZ195" s="31"/>
      <c r="GA195" s="31"/>
      <c r="GB195" s="31"/>
      <c r="GC195" s="31"/>
      <c r="GD195" s="31"/>
      <c r="GE195" s="31"/>
      <c r="GF195" s="31"/>
      <c r="GG195" s="31"/>
      <c r="GH195" s="31"/>
      <c r="GI195" s="31"/>
      <c r="GJ195" s="31"/>
      <c r="GK195" s="31"/>
      <c r="GL195" s="31"/>
      <c r="GM195" s="31"/>
      <c r="GN195" s="31"/>
      <c r="GO195" s="31"/>
      <c r="GP195" s="31"/>
      <c r="GQ195" s="31"/>
      <c r="GR195" s="31"/>
      <c r="GS195" s="31"/>
      <c r="GT195" s="31"/>
      <c r="GU195" s="31"/>
      <c r="GV195" s="31"/>
      <c r="GW195" s="31"/>
      <c r="GX195" s="31"/>
      <c r="GY195" s="31"/>
      <c r="GZ195" s="31"/>
      <c r="HA195" s="31"/>
      <c r="HB195" s="31"/>
      <c r="HC195" s="31"/>
      <c r="HD195" s="31"/>
      <c r="HE195" s="31"/>
      <c r="HF195" s="31"/>
      <c r="HG195" s="31"/>
      <c r="HH195" s="31"/>
      <c r="HI195" s="31"/>
      <c r="HJ195" s="31"/>
      <c r="HK195" s="31"/>
      <c r="HL195" s="31"/>
      <c r="HM195" s="31"/>
      <c r="HN195" s="31"/>
      <c r="HO195" s="31"/>
      <c r="HP195" s="31"/>
      <c r="HQ195" s="31"/>
      <c r="HR195" s="31"/>
      <c r="HS195" s="31"/>
      <c r="HT195" s="31"/>
      <c r="HU195" s="31"/>
      <c r="HV195" s="31"/>
      <c r="HW195" s="31"/>
      <c r="HX195" s="31"/>
      <c r="HY195" s="31"/>
      <c r="HZ195" s="31"/>
    </row>
    <row r="196" spans="1:234" ht="14.25" customHeight="1" x14ac:dyDescent="0.35">
      <c r="A196" s="88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30"/>
      <c r="U196" s="27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  <c r="BS196" s="31"/>
      <c r="BT196" s="31"/>
      <c r="BU196" s="31"/>
      <c r="BV196" s="31"/>
      <c r="BW196" s="31"/>
      <c r="BX196" s="31"/>
      <c r="BY196" s="31"/>
      <c r="BZ196" s="31"/>
      <c r="CA196" s="31"/>
      <c r="CB196" s="31"/>
      <c r="CC196" s="31"/>
      <c r="CD196" s="31"/>
      <c r="CE196" s="31"/>
      <c r="CF196" s="31"/>
      <c r="CG196" s="31"/>
      <c r="CH196" s="31"/>
      <c r="CI196" s="31"/>
      <c r="CJ196" s="31"/>
      <c r="CK196" s="31"/>
      <c r="CL196" s="31"/>
      <c r="CM196" s="31"/>
      <c r="CN196" s="31"/>
      <c r="CO196" s="31"/>
      <c r="CP196" s="31"/>
      <c r="CQ196" s="31"/>
      <c r="CR196" s="31"/>
      <c r="CS196" s="31"/>
      <c r="CT196" s="31"/>
      <c r="CU196" s="31"/>
      <c r="CV196" s="31"/>
      <c r="CW196" s="31"/>
      <c r="CX196" s="31"/>
      <c r="CY196" s="31"/>
      <c r="CZ196" s="31"/>
      <c r="DA196" s="31"/>
      <c r="DB196" s="31"/>
      <c r="DC196" s="31"/>
      <c r="DD196" s="31"/>
      <c r="DE196" s="31"/>
      <c r="DF196" s="31"/>
      <c r="DG196" s="31"/>
      <c r="DH196" s="31"/>
      <c r="DI196" s="31"/>
      <c r="DJ196" s="31"/>
      <c r="DK196" s="31"/>
      <c r="DL196" s="31"/>
      <c r="DM196" s="31"/>
      <c r="DN196" s="31"/>
      <c r="DO196" s="31"/>
      <c r="DP196" s="31"/>
      <c r="DQ196" s="31"/>
      <c r="DR196" s="31"/>
      <c r="DS196" s="31"/>
      <c r="DT196" s="31"/>
      <c r="DU196" s="31"/>
      <c r="DV196" s="31"/>
      <c r="DW196" s="31"/>
      <c r="DX196" s="31"/>
      <c r="DY196" s="31"/>
      <c r="DZ196" s="31"/>
      <c r="EA196" s="31"/>
      <c r="EB196" s="31"/>
      <c r="EC196" s="31"/>
      <c r="ED196" s="31"/>
      <c r="EE196" s="31"/>
      <c r="EF196" s="31"/>
      <c r="EG196" s="31"/>
      <c r="EH196" s="31"/>
      <c r="EI196" s="31"/>
      <c r="EJ196" s="31"/>
      <c r="EK196" s="31"/>
      <c r="EL196" s="31"/>
      <c r="EM196" s="31"/>
      <c r="EN196" s="31"/>
      <c r="EO196" s="31"/>
      <c r="EP196" s="31"/>
      <c r="EQ196" s="31"/>
      <c r="ER196" s="31"/>
      <c r="ES196" s="31"/>
      <c r="ET196" s="31"/>
      <c r="EU196" s="31"/>
      <c r="EV196" s="31"/>
      <c r="EW196" s="31"/>
      <c r="EX196" s="31"/>
      <c r="EY196" s="31"/>
      <c r="EZ196" s="31"/>
      <c r="FA196" s="31"/>
      <c r="FB196" s="31"/>
      <c r="FC196" s="31"/>
      <c r="FD196" s="31"/>
      <c r="FE196" s="31"/>
      <c r="FF196" s="31"/>
      <c r="FG196" s="31"/>
      <c r="FH196" s="31"/>
      <c r="FI196" s="31"/>
      <c r="FJ196" s="31"/>
      <c r="FK196" s="31"/>
      <c r="FL196" s="31"/>
      <c r="FM196" s="31"/>
      <c r="FN196" s="31"/>
      <c r="FO196" s="31"/>
      <c r="FP196" s="31"/>
      <c r="FQ196" s="31"/>
      <c r="FR196" s="31"/>
      <c r="FS196" s="31"/>
      <c r="FT196" s="31"/>
      <c r="FU196" s="31"/>
      <c r="FV196" s="31"/>
      <c r="FW196" s="31"/>
      <c r="FX196" s="31"/>
      <c r="FY196" s="31"/>
      <c r="FZ196" s="31"/>
      <c r="GA196" s="31"/>
      <c r="GB196" s="31"/>
      <c r="GC196" s="31"/>
      <c r="GD196" s="31"/>
      <c r="GE196" s="31"/>
      <c r="GF196" s="31"/>
      <c r="GG196" s="31"/>
      <c r="GH196" s="31"/>
      <c r="GI196" s="31"/>
      <c r="GJ196" s="31"/>
      <c r="GK196" s="31"/>
      <c r="GL196" s="31"/>
      <c r="GM196" s="31"/>
      <c r="GN196" s="31"/>
      <c r="GO196" s="31"/>
      <c r="GP196" s="31"/>
      <c r="GQ196" s="31"/>
      <c r="GR196" s="31"/>
      <c r="GS196" s="31"/>
      <c r="GT196" s="31"/>
      <c r="GU196" s="31"/>
      <c r="GV196" s="31"/>
      <c r="GW196" s="31"/>
      <c r="GX196" s="31"/>
      <c r="GY196" s="31"/>
      <c r="GZ196" s="31"/>
      <c r="HA196" s="31"/>
      <c r="HB196" s="31"/>
      <c r="HC196" s="31"/>
      <c r="HD196" s="31"/>
      <c r="HE196" s="31"/>
      <c r="HF196" s="31"/>
      <c r="HG196" s="31"/>
      <c r="HH196" s="31"/>
      <c r="HI196" s="31"/>
      <c r="HJ196" s="31"/>
      <c r="HK196" s="31"/>
      <c r="HL196" s="31"/>
      <c r="HM196" s="31"/>
      <c r="HN196" s="31"/>
      <c r="HO196" s="31"/>
      <c r="HP196" s="31"/>
      <c r="HQ196" s="31"/>
      <c r="HR196" s="31"/>
      <c r="HS196" s="31"/>
      <c r="HT196" s="31"/>
      <c r="HU196" s="31"/>
      <c r="HV196" s="31"/>
      <c r="HW196" s="31"/>
      <c r="HX196" s="31"/>
      <c r="HY196" s="31"/>
      <c r="HZ196" s="31"/>
    </row>
    <row r="197" spans="1:234" ht="14.25" customHeight="1" x14ac:dyDescent="0.35">
      <c r="A197" s="88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30"/>
      <c r="U197" s="27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  <c r="BE197" s="31"/>
      <c r="BF197" s="31"/>
      <c r="BG197" s="31"/>
      <c r="BH197" s="31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  <c r="BS197" s="31"/>
      <c r="BT197" s="31"/>
      <c r="BU197" s="31"/>
      <c r="BV197" s="31"/>
      <c r="BW197" s="31"/>
      <c r="BX197" s="31"/>
      <c r="BY197" s="31"/>
      <c r="BZ197" s="31"/>
      <c r="CA197" s="31"/>
      <c r="CB197" s="31"/>
      <c r="CC197" s="31"/>
      <c r="CD197" s="31"/>
      <c r="CE197" s="31"/>
      <c r="CF197" s="31"/>
      <c r="CG197" s="31"/>
      <c r="CH197" s="31"/>
      <c r="CI197" s="31"/>
      <c r="CJ197" s="31"/>
      <c r="CK197" s="31"/>
      <c r="CL197" s="31"/>
      <c r="CM197" s="31"/>
      <c r="CN197" s="31"/>
      <c r="CO197" s="31"/>
      <c r="CP197" s="31"/>
      <c r="CQ197" s="31"/>
      <c r="CR197" s="31"/>
      <c r="CS197" s="31"/>
      <c r="CT197" s="31"/>
      <c r="CU197" s="31"/>
      <c r="CV197" s="31"/>
      <c r="CW197" s="31"/>
      <c r="CX197" s="31"/>
      <c r="CY197" s="31"/>
      <c r="CZ197" s="31"/>
      <c r="DA197" s="31"/>
      <c r="DB197" s="31"/>
      <c r="DC197" s="31"/>
      <c r="DD197" s="31"/>
      <c r="DE197" s="31"/>
      <c r="DF197" s="31"/>
      <c r="DG197" s="31"/>
      <c r="DH197" s="31"/>
      <c r="DI197" s="31"/>
      <c r="DJ197" s="31"/>
      <c r="DK197" s="31"/>
      <c r="DL197" s="31"/>
      <c r="DM197" s="31"/>
      <c r="DN197" s="31"/>
      <c r="DO197" s="31"/>
      <c r="DP197" s="31"/>
      <c r="DQ197" s="31"/>
      <c r="DR197" s="31"/>
      <c r="DS197" s="31"/>
      <c r="DT197" s="31"/>
      <c r="DU197" s="31"/>
      <c r="DV197" s="31"/>
      <c r="DW197" s="31"/>
      <c r="DX197" s="31"/>
      <c r="DY197" s="31"/>
      <c r="DZ197" s="31"/>
      <c r="EA197" s="31"/>
      <c r="EB197" s="31"/>
      <c r="EC197" s="31"/>
      <c r="ED197" s="31"/>
      <c r="EE197" s="31"/>
      <c r="EF197" s="31"/>
      <c r="EG197" s="31"/>
      <c r="EH197" s="31"/>
      <c r="EI197" s="31"/>
      <c r="EJ197" s="31"/>
      <c r="EK197" s="31"/>
      <c r="EL197" s="31"/>
      <c r="EM197" s="31"/>
      <c r="EN197" s="31"/>
      <c r="EO197" s="31"/>
      <c r="EP197" s="31"/>
      <c r="EQ197" s="31"/>
      <c r="ER197" s="31"/>
      <c r="ES197" s="31"/>
      <c r="ET197" s="31"/>
      <c r="EU197" s="31"/>
      <c r="EV197" s="31"/>
      <c r="EW197" s="31"/>
      <c r="EX197" s="31"/>
      <c r="EY197" s="31"/>
      <c r="EZ197" s="31"/>
      <c r="FA197" s="31"/>
      <c r="FB197" s="31"/>
      <c r="FC197" s="31"/>
      <c r="FD197" s="31"/>
      <c r="FE197" s="31"/>
      <c r="FF197" s="31"/>
      <c r="FG197" s="31"/>
      <c r="FH197" s="31"/>
      <c r="FI197" s="31"/>
      <c r="FJ197" s="31"/>
      <c r="FK197" s="31"/>
      <c r="FL197" s="31"/>
      <c r="FM197" s="31"/>
      <c r="FN197" s="31"/>
      <c r="FO197" s="31"/>
      <c r="FP197" s="31"/>
      <c r="FQ197" s="31"/>
      <c r="FR197" s="31"/>
      <c r="FS197" s="31"/>
      <c r="FT197" s="31"/>
      <c r="FU197" s="31"/>
      <c r="FV197" s="31"/>
      <c r="FW197" s="31"/>
      <c r="FX197" s="31"/>
      <c r="FY197" s="31"/>
      <c r="FZ197" s="31"/>
      <c r="GA197" s="31"/>
      <c r="GB197" s="31"/>
      <c r="GC197" s="31"/>
      <c r="GD197" s="31"/>
      <c r="GE197" s="31"/>
      <c r="GF197" s="31"/>
      <c r="GG197" s="31"/>
      <c r="GH197" s="31"/>
      <c r="GI197" s="31"/>
      <c r="GJ197" s="31"/>
      <c r="GK197" s="31"/>
      <c r="GL197" s="31"/>
      <c r="GM197" s="31"/>
      <c r="GN197" s="31"/>
      <c r="GO197" s="31"/>
      <c r="GP197" s="31"/>
      <c r="GQ197" s="31"/>
      <c r="GR197" s="31"/>
      <c r="GS197" s="31"/>
      <c r="GT197" s="31"/>
      <c r="GU197" s="31"/>
      <c r="GV197" s="31"/>
      <c r="GW197" s="31"/>
      <c r="GX197" s="31"/>
      <c r="GY197" s="31"/>
      <c r="GZ197" s="31"/>
      <c r="HA197" s="31"/>
      <c r="HB197" s="31"/>
      <c r="HC197" s="31"/>
      <c r="HD197" s="31"/>
      <c r="HE197" s="31"/>
      <c r="HF197" s="31"/>
      <c r="HG197" s="31"/>
      <c r="HH197" s="31"/>
      <c r="HI197" s="31"/>
      <c r="HJ197" s="31"/>
      <c r="HK197" s="31"/>
      <c r="HL197" s="31"/>
      <c r="HM197" s="31"/>
      <c r="HN197" s="31"/>
      <c r="HO197" s="31"/>
      <c r="HP197" s="31"/>
      <c r="HQ197" s="31"/>
      <c r="HR197" s="31"/>
      <c r="HS197" s="31"/>
      <c r="HT197" s="31"/>
      <c r="HU197" s="31"/>
      <c r="HV197" s="31"/>
      <c r="HW197" s="31"/>
      <c r="HX197" s="31"/>
      <c r="HY197" s="31"/>
      <c r="HZ197" s="31"/>
    </row>
    <row r="198" spans="1:234" ht="14.25" customHeight="1" x14ac:dyDescent="0.35">
      <c r="A198" s="88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30"/>
      <c r="U198" s="27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31"/>
      <c r="BH198" s="31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  <c r="BS198" s="31"/>
      <c r="BT198" s="31"/>
      <c r="BU198" s="31"/>
      <c r="BV198" s="31"/>
      <c r="BW198" s="31"/>
      <c r="BX198" s="31"/>
      <c r="BY198" s="31"/>
      <c r="BZ198" s="31"/>
      <c r="CA198" s="31"/>
      <c r="CB198" s="31"/>
      <c r="CC198" s="31"/>
      <c r="CD198" s="31"/>
      <c r="CE198" s="31"/>
      <c r="CF198" s="31"/>
      <c r="CG198" s="31"/>
      <c r="CH198" s="31"/>
      <c r="CI198" s="31"/>
      <c r="CJ198" s="31"/>
      <c r="CK198" s="31"/>
      <c r="CL198" s="31"/>
      <c r="CM198" s="31"/>
      <c r="CN198" s="31"/>
      <c r="CO198" s="31"/>
      <c r="CP198" s="31"/>
      <c r="CQ198" s="31"/>
      <c r="CR198" s="31"/>
      <c r="CS198" s="31"/>
      <c r="CT198" s="31"/>
      <c r="CU198" s="31"/>
      <c r="CV198" s="31"/>
      <c r="CW198" s="31"/>
      <c r="CX198" s="31"/>
      <c r="CY198" s="31"/>
      <c r="CZ198" s="31"/>
      <c r="DA198" s="31"/>
      <c r="DB198" s="31"/>
      <c r="DC198" s="31"/>
      <c r="DD198" s="31"/>
      <c r="DE198" s="31"/>
      <c r="DF198" s="31"/>
      <c r="DG198" s="31"/>
      <c r="DH198" s="31"/>
      <c r="DI198" s="31"/>
      <c r="DJ198" s="31"/>
      <c r="DK198" s="31"/>
      <c r="DL198" s="31"/>
      <c r="DM198" s="31"/>
      <c r="DN198" s="31"/>
      <c r="DO198" s="31"/>
      <c r="DP198" s="31"/>
      <c r="DQ198" s="31"/>
      <c r="DR198" s="31"/>
      <c r="DS198" s="31"/>
      <c r="DT198" s="31"/>
      <c r="DU198" s="31"/>
      <c r="DV198" s="31"/>
      <c r="DW198" s="31"/>
      <c r="DX198" s="31"/>
      <c r="DY198" s="31"/>
      <c r="DZ198" s="31"/>
      <c r="EA198" s="31"/>
      <c r="EB198" s="31"/>
      <c r="EC198" s="31"/>
      <c r="ED198" s="31"/>
      <c r="EE198" s="31"/>
      <c r="EF198" s="31"/>
      <c r="EG198" s="31"/>
      <c r="EH198" s="31"/>
      <c r="EI198" s="31"/>
      <c r="EJ198" s="31"/>
      <c r="EK198" s="31"/>
      <c r="EL198" s="31"/>
      <c r="EM198" s="31"/>
      <c r="EN198" s="31"/>
      <c r="EO198" s="31"/>
      <c r="EP198" s="31"/>
      <c r="EQ198" s="31"/>
      <c r="ER198" s="31"/>
      <c r="ES198" s="31"/>
      <c r="ET198" s="31"/>
      <c r="EU198" s="31"/>
      <c r="EV198" s="31"/>
      <c r="EW198" s="31"/>
      <c r="EX198" s="31"/>
      <c r="EY198" s="31"/>
      <c r="EZ198" s="31"/>
      <c r="FA198" s="31"/>
      <c r="FB198" s="31"/>
      <c r="FC198" s="31"/>
      <c r="FD198" s="31"/>
      <c r="FE198" s="31"/>
      <c r="FF198" s="31"/>
      <c r="FG198" s="31"/>
      <c r="FH198" s="31"/>
      <c r="FI198" s="31"/>
      <c r="FJ198" s="31"/>
      <c r="FK198" s="31"/>
      <c r="FL198" s="31"/>
      <c r="FM198" s="31"/>
      <c r="FN198" s="31"/>
      <c r="FO198" s="31"/>
      <c r="FP198" s="31"/>
      <c r="FQ198" s="31"/>
      <c r="FR198" s="31"/>
      <c r="FS198" s="31"/>
      <c r="FT198" s="31"/>
      <c r="FU198" s="31"/>
      <c r="FV198" s="31"/>
      <c r="FW198" s="31"/>
      <c r="FX198" s="31"/>
      <c r="FY198" s="31"/>
      <c r="FZ198" s="31"/>
      <c r="GA198" s="31"/>
      <c r="GB198" s="31"/>
      <c r="GC198" s="31"/>
      <c r="GD198" s="31"/>
      <c r="GE198" s="31"/>
      <c r="GF198" s="31"/>
      <c r="GG198" s="31"/>
      <c r="GH198" s="31"/>
      <c r="GI198" s="31"/>
      <c r="GJ198" s="31"/>
      <c r="GK198" s="31"/>
      <c r="GL198" s="31"/>
      <c r="GM198" s="31"/>
      <c r="GN198" s="31"/>
      <c r="GO198" s="31"/>
      <c r="GP198" s="31"/>
      <c r="GQ198" s="31"/>
      <c r="GR198" s="31"/>
      <c r="GS198" s="31"/>
      <c r="GT198" s="31"/>
      <c r="GU198" s="31"/>
      <c r="GV198" s="31"/>
      <c r="GW198" s="31"/>
      <c r="GX198" s="31"/>
      <c r="GY198" s="31"/>
      <c r="GZ198" s="31"/>
      <c r="HA198" s="31"/>
      <c r="HB198" s="31"/>
      <c r="HC198" s="31"/>
      <c r="HD198" s="31"/>
      <c r="HE198" s="31"/>
      <c r="HF198" s="31"/>
      <c r="HG198" s="31"/>
      <c r="HH198" s="31"/>
      <c r="HI198" s="31"/>
      <c r="HJ198" s="31"/>
      <c r="HK198" s="31"/>
      <c r="HL198" s="31"/>
      <c r="HM198" s="31"/>
      <c r="HN198" s="31"/>
      <c r="HO198" s="31"/>
      <c r="HP198" s="31"/>
      <c r="HQ198" s="31"/>
      <c r="HR198" s="31"/>
      <c r="HS198" s="31"/>
      <c r="HT198" s="31"/>
      <c r="HU198" s="31"/>
      <c r="HV198" s="31"/>
      <c r="HW198" s="31"/>
      <c r="HX198" s="31"/>
      <c r="HY198" s="31"/>
      <c r="HZ198" s="31"/>
    </row>
    <row r="199" spans="1:234" ht="14.25" customHeight="1" x14ac:dyDescent="0.35">
      <c r="A199" s="88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30"/>
      <c r="U199" s="27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31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  <c r="BS199" s="31"/>
      <c r="BT199" s="31"/>
      <c r="BU199" s="31"/>
      <c r="BV199" s="31"/>
      <c r="BW199" s="31"/>
      <c r="BX199" s="31"/>
      <c r="BY199" s="31"/>
      <c r="BZ199" s="31"/>
      <c r="CA199" s="31"/>
      <c r="CB199" s="31"/>
      <c r="CC199" s="31"/>
      <c r="CD199" s="31"/>
      <c r="CE199" s="31"/>
      <c r="CF199" s="31"/>
      <c r="CG199" s="31"/>
      <c r="CH199" s="31"/>
      <c r="CI199" s="31"/>
      <c r="CJ199" s="31"/>
      <c r="CK199" s="31"/>
      <c r="CL199" s="31"/>
      <c r="CM199" s="31"/>
      <c r="CN199" s="31"/>
      <c r="CO199" s="31"/>
      <c r="CP199" s="31"/>
      <c r="CQ199" s="31"/>
      <c r="CR199" s="31"/>
      <c r="CS199" s="31"/>
      <c r="CT199" s="31"/>
      <c r="CU199" s="31"/>
      <c r="CV199" s="31"/>
      <c r="CW199" s="31"/>
      <c r="CX199" s="31"/>
      <c r="CY199" s="31"/>
      <c r="CZ199" s="31"/>
      <c r="DA199" s="31"/>
      <c r="DB199" s="31"/>
      <c r="DC199" s="31"/>
      <c r="DD199" s="31"/>
      <c r="DE199" s="31"/>
      <c r="DF199" s="31"/>
      <c r="DG199" s="31"/>
      <c r="DH199" s="31"/>
      <c r="DI199" s="31"/>
      <c r="DJ199" s="31"/>
      <c r="DK199" s="31"/>
      <c r="DL199" s="31"/>
      <c r="DM199" s="31"/>
      <c r="DN199" s="31"/>
      <c r="DO199" s="31"/>
      <c r="DP199" s="31"/>
      <c r="DQ199" s="31"/>
      <c r="DR199" s="31"/>
      <c r="DS199" s="31"/>
      <c r="DT199" s="31"/>
      <c r="DU199" s="31"/>
      <c r="DV199" s="31"/>
      <c r="DW199" s="31"/>
      <c r="DX199" s="31"/>
      <c r="DY199" s="31"/>
      <c r="DZ199" s="31"/>
      <c r="EA199" s="31"/>
      <c r="EB199" s="31"/>
      <c r="EC199" s="31"/>
      <c r="ED199" s="31"/>
      <c r="EE199" s="31"/>
      <c r="EF199" s="31"/>
      <c r="EG199" s="31"/>
      <c r="EH199" s="31"/>
      <c r="EI199" s="31"/>
      <c r="EJ199" s="31"/>
      <c r="EK199" s="31"/>
      <c r="EL199" s="31"/>
      <c r="EM199" s="31"/>
      <c r="EN199" s="31"/>
      <c r="EO199" s="31"/>
      <c r="EP199" s="31"/>
      <c r="EQ199" s="31"/>
      <c r="ER199" s="31"/>
      <c r="ES199" s="31"/>
      <c r="ET199" s="31"/>
      <c r="EU199" s="31"/>
      <c r="EV199" s="31"/>
      <c r="EW199" s="31"/>
      <c r="EX199" s="31"/>
      <c r="EY199" s="31"/>
      <c r="EZ199" s="31"/>
      <c r="FA199" s="31"/>
      <c r="FB199" s="31"/>
      <c r="FC199" s="31"/>
      <c r="FD199" s="31"/>
      <c r="FE199" s="31"/>
      <c r="FF199" s="31"/>
      <c r="FG199" s="31"/>
      <c r="FH199" s="31"/>
      <c r="FI199" s="31"/>
      <c r="FJ199" s="31"/>
      <c r="FK199" s="31"/>
      <c r="FL199" s="31"/>
      <c r="FM199" s="31"/>
      <c r="FN199" s="31"/>
      <c r="FO199" s="31"/>
      <c r="FP199" s="31"/>
      <c r="FQ199" s="31"/>
      <c r="FR199" s="31"/>
      <c r="FS199" s="31"/>
      <c r="FT199" s="31"/>
      <c r="FU199" s="31"/>
      <c r="FV199" s="31"/>
      <c r="FW199" s="31"/>
      <c r="FX199" s="31"/>
      <c r="FY199" s="31"/>
      <c r="FZ199" s="31"/>
      <c r="GA199" s="31"/>
      <c r="GB199" s="31"/>
      <c r="GC199" s="31"/>
      <c r="GD199" s="31"/>
      <c r="GE199" s="31"/>
      <c r="GF199" s="31"/>
      <c r="GG199" s="31"/>
      <c r="GH199" s="31"/>
      <c r="GI199" s="31"/>
      <c r="GJ199" s="31"/>
      <c r="GK199" s="31"/>
      <c r="GL199" s="31"/>
      <c r="GM199" s="31"/>
      <c r="GN199" s="31"/>
      <c r="GO199" s="31"/>
      <c r="GP199" s="31"/>
      <c r="GQ199" s="31"/>
      <c r="GR199" s="31"/>
      <c r="GS199" s="31"/>
      <c r="GT199" s="31"/>
      <c r="GU199" s="31"/>
      <c r="GV199" s="31"/>
      <c r="GW199" s="31"/>
      <c r="GX199" s="31"/>
      <c r="GY199" s="31"/>
      <c r="GZ199" s="31"/>
      <c r="HA199" s="31"/>
      <c r="HB199" s="31"/>
      <c r="HC199" s="31"/>
      <c r="HD199" s="31"/>
      <c r="HE199" s="31"/>
      <c r="HF199" s="31"/>
      <c r="HG199" s="31"/>
      <c r="HH199" s="31"/>
      <c r="HI199" s="31"/>
      <c r="HJ199" s="31"/>
      <c r="HK199" s="31"/>
      <c r="HL199" s="31"/>
      <c r="HM199" s="31"/>
      <c r="HN199" s="31"/>
      <c r="HO199" s="31"/>
      <c r="HP199" s="31"/>
      <c r="HQ199" s="31"/>
      <c r="HR199" s="31"/>
      <c r="HS199" s="31"/>
      <c r="HT199" s="31"/>
      <c r="HU199" s="31"/>
      <c r="HV199" s="31"/>
      <c r="HW199" s="31"/>
      <c r="HX199" s="31"/>
      <c r="HY199" s="31"/>
      <c r="HZ199" s="31"/>
    </row>
    <row r="200" spans="1:234" ht="14.25" customHeight="1" x14ac:dyDescent="0.35">
      <c r="A200" s="88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30"/>
      <c r="U200" s="27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  <c r="BE200" s="31"/>
      <c r="BF200" s="31"/>
      <c r="BG200" s="31"/>
      <c r="BH200" s="31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  <c r="BS200" s="31"/>
      <c r="BT200" s="31"/>
      <c r="BU200" s="31"/>
      <c r="BV200" s="31"/>
      <c r="BW200" s="31"/>
      <c r="BX200" s="31"/>
      <c r="BY200" s="31"/>
      <c r="BZ200" s="31"/>
      <c r="CA200" s="31"/>
      <c r="CB200" s="31"/>
      <c r="CC200" s="31"/>
      <c r="CD200" s="31"/>
      <c r="CE200" s="31"/>
      <c r="CF200" s="31"/>
      <c r="CG200" s="31"/>
      <c r="CH200" s="31"/>
      <c r="CI200" s="31"/>
      <c r="CJ200" s="31"/>
      <c r="CK200" s="31"/>
      <c r="CL200" s="31"/>
      <c r="CM200" s="31"/>
      <c r="CN200" s="31"/>
      <c r="CO200" s="31"/>
      <c r="CP200" s="31"/>
      <c r="CQ200" s="31"/>
      <c r="CR200" s="31"/>
      <c r="CS200" s="31"/>
      <c r="CT200" s="31"/>
      <c r="CU200" s="31"/>
      <c r="CV200" s="31"/>
      <c r="CW200" s="31"/>
      <c r="CX200" s="31"/>
      <c r="CY200" s="31"/>
      <c r="CZ200" s="31"/>
      <c r="DA200" s="31"/>
      <c r="DB200" s="31"/>
      <c r="DC200" s="31"/>
      <c r="DD200" s="31"/>
      <c r="DE200" s="31"/>
      <c r="DF200" s="31"/>
      <c r="DG200" s="31"/>
      <c r="DH200" s="31"/>
      <c r="DI200" s="31"/>
      <c r="DJ200" s="31"/>
      <c r="DK200" s="31"/>
      <c r="DL200" s="31"/>
      <c r="DM200" s="31"/>
      <c r="DN200" s="31"/>
      <c r="DO200" s="31"/>
      <c r="DP200" s="31"/>
      <c r="DQ200" s="31"/>
      <c r="DR200" s="31"/>
      <c r="DS200" s="31"/>
      <c r="DT200" s="31"/>
      <c r="DU200" s="31"/>
      <c r="DV200" s="31"/>
      <c r="DW200" s="31"/>
      <c r="DX200" s="31"/>
      <c r="DY200" s="31"/>
      <c r="DZ200" s="31"/>
      <c r="EA200" s="31"/>
      <c r="EB200" s="31"/>
      <c r="EC200" s="31"/>
      <c r="ED200" s="31"/>
      <c r="EE200" s="31"/>
      <c r="EF200" s="31"/>
      <c r="EG200" s="31"/>
      <c r="EH200" s="31"/>
      <c r="EI200" s="31"/>
      <c r="EJ200" s="31"/>
      <c r="EK200" s="31"/>
      <c r="EL200" s="31"/>
      <c r="EM200" s="31"/>
      <c r="EN200" s="31"/>
      <c r="EO200" s="31"/>
      <c r="EP200" s="31"/>
      <c r="EQ200" s="31"/>
      <c r="ER200" s="31"/>
      <c r="ES200" s="31"/>
      <c r="ET200" s="31"/>
      <c r="EU200" s="31"/>
      <c r="EV200" s="31"/>
      <c r="EW200" s="31"/>
      <c r="EX200" s="31"/>
      <c r="EY200" s="31"/>
      <c r="EZ200" s="31"/>
      <c r="FA200" s="31"/>
      <c r="FB200" s="31"/>
      <c r="FC200" s="31"/>
      <c r="FD200" s="31"/>
      <c r="FE200" s="31"/>
      <c r="FF200" s="31"/>
      <c r="FG200" s="31"/>
      <c r="FH200" s="31"/>
      <c r="FI200" s="31"/>
      <c r="FJ200" s="31"/>
      <c r="FK200" s="31"/>
      <c r="FL200" s="31"/>
      <c r="FM200" s="31"/>
      <c r="FN200" s="31"/>
      <c r="FO200" s="31"/>
      <c r="FP200" s="31"/>
      <c r="FQ200" s="31"/>
      <c r="FR200" s="31"/>
      <c r="FS200" s="31"/>
      <c r="FT200" s="31"/>
      <c r="FU200" s="31"/>
      <c r="FV200" s="31"/>
      <c r="FW200" s="31"/>
      <c r="FX200" s="31"/>
      <c r="FY200" s="31"/>
      <c r="FZ200" s="31"/>
      <c r="GA200" s="31"/>
      <c r="GB200" s="31"/>
      <c r="GC200" s="31"/>
      <c r="GD200" s="31"/>
      <c r="GE200" s="31"/>
      <c r="GF200" s="31"/>
      <c r="GG200" s="31"/>
      <c r="GH200" s="31"/>
      <c r="GI200" s="31"/>
      <c r="GJ200" s="31"/>
      <c r="GK200" s="31"/>
      <c r="GL200" s="31"/>
      <c r="GM200" s="31"/>
      <c r="GN200" s="31"/>
      <c r="GO200" s="31"/>
      <c r="GP200" s="31"/>
      <c r="GQ200" s="31"/>
      <c r="GR200" s="31"/>
      <c r="GS200" s="31"/>
      <c r="GT200" s="31"/>
      <c r="GU200" s="31"/>
      <c r="GV200" s="31"/>
      <c r="GW200" s="31"/>
      <c r="GX200" s="31"/>
      <c r="GY200" s="31"/>
      <c r="GZ200" s="31"/>
      <c r="HA200" s="31"/>
      <c r="HB200" s="31"/>
      <c r="HC200" s="31"/>
      <c r="HD200" s="31"/>
      <c r="HE200" s="31"/>
      <c r="HF200" s="31"/>
      <c r="HG200" s="31"/>
      <c r="HH200" s="31"/>
      <c r="HI200" s="31"/>
      <c r="HJ200" s="31"/>
      <c r="HK200" s="31"/>
      <c r="HL200" s="31"/>
      <c r="HM200" s="31"/>
      <c r="HN200" s="31"/>
      <c r="HO200" s="31"/>
      <c r="HP200" s="31"/>
      <c r="HQ200" s="31"/>
      <c r="HR200" s="31"/>
      <c r="HS200" s="31"/>
      <c r="HT200" s="31"/>
      <c r="HU200" s="31"/>
      <c r="HV200" s="31"/>
      <c r="HW200" s="31"/>
      <c r="HX200" s="31"/>
      <c r="HY200" s="31"/>
      <c r="HZ200" s="31"/>
    </row>
    <row r="201" spans="1:234" ht="14.25" customHeight="1" x14ac:dyDescent="0.35">
      <c r="A201" s="88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30"/>
      <c r="U201" s="27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  <c r="BS201" s="31"/>
      <c r="BT201" s="31"/>
      <c r="BU201" s="31"/>
      <c r="BV201" s="31"/>
      <c r="BW201" s="31"/>
      <c r="BX201" s="31"/>
      <c r="BY201" s="31"/>
      <c r="BZ201" s="31"/>
      <c r="CA201" s="31"/>
      <c r="CB201" s="31"/>
      <c r="CC201" s="31"/>
      <c r="CD201" s="31"/>
      <c r="CE201" s="31"/>
      <c r="CF201" s="31"/>
      <c r="CG201" s="31"/>
      <c r="CH201" s="31"/>
      <c r="CI201" s="31"/>
      <c r="CJ201" s="31"/>
      <c r="CK201" s="31"/>
      <c r="CL201" s="31"/>
      <c r="CM201" s="31"/>
      <c r="CN201" s="31"/>
      <c r="CO201" s="31"/>
      <c r="CP201" s="31"/>
      <c r="CQ201" s="31"/>
      <c r="CR201" s="31"/>
      <c r="CS201" s="31"/>
      <c r="CT201" s="31"/>
      <c r="CU201" s="31"/>
      <c r="CV201" s="31"/>
      <c r="CW201" s="31"/>
      <c r="CX201" s="31"/>
      <c r="CY201" s="31"/>
      <c r="CZ201" s="31"/>
      <c r="DA201" s="31"/>
      <c r="DB201" s="31"/>
      <c r="DC201" s="31"/>
      <c r="DD201" s="31"/>
      <c r="DE201" s="31"/>
      <c r="DF201" s="31"/>
      <c r="DG201" s="31"/>
      <c r="DH201" s="31"/>
      <c r="DI201" s="31"/>
      <c r="DJ201" s="31"/>
      <c r="DK201" s="31"/>
      <c r="DL201" s="31"/>
      <c r="DM201" s="31"/>
      <c r="DN201" s="31"/>
      <c r="DO201" s="31"/>
      <c r="DP201" s="31"/>
      <c r="DQ201" s="31"/>
      <c r="DR201" s="31"/>
      <c r="DS201" s="31"/>
      <c r="DT201" s="31"/>
      <c r="DU201" s="31"/>
      <c r="DV201" s="31"/>
      <c r="DW201" s="31"/>
      <c r="DX201" s="31"/>
      <c r="DY201" s="31"/>
      <c r="DZ201" s="31"/>
      <c r="EA201" s="31"/>
      <c r="EB201" s="31"/>
      <c r="EC201" s="31"/>
      <c r="ED201" s="31"/>
      <c r="EE201" s="31"/>
      <c r="EF201" s="31"/>
      <c r="EG201" s="31"/>
      <c r="EH201" s="31"/>
      <c r="EI201" s="31"/>
      <c r="EJ201" s="31"/>
      <c r="EK201" s="31"/>
      <c r="EL201" s="31"/>
      <c r="EM201" s="31"/>
      <c r="EN201" s="31"/>
      <c r="EO201" s="31"/>
      <c r="EP201" s="31"/>
      <c r="EQ201" s="31"/>
      <c r="ER201" s="31"/>
      <c r="ES201" s="31"/>
      <c r="ET201" s="31"/>
      <c r="EU201" s="31"/>
      <c r="EV201" s="31"/>
      <c r="EW201" s="31"/>
      <c r="EX201" s="31"/>
      <c r="EY201" s="31"/>
      <c r="EZ201" s="31"/>
      <c r="FA201" s="31"/>
      <c r="FB201" s="31"/>
      <c r="FC201" s="31"/>
      <c r="FD201" s="31"/>
      <c r="FE201" s="31"/>
      <c r="FF201" s="31"/>
      <c r="FG201" s="31"/>
      <c r="FH201" s="31"/>
      <c r="FI201" s="31"/>
      <c r="FJ201" s="31"/>
      <c r="FK201" s="31"/>
      <c r="FL201" s="31"/>
      <c r="FM201" s="31"/>
      <c r="FN201" s="31"/>
      <c r="FO201" s="31"/>
      <c r="FP201" s="31"/>
      <c r="FQ201" s="31"/>
      <c r="FR201" s="31"/>
      <c r="FS201" s="31"/>
      <c r="FT201" s="31"/>
      <c r="FU201" s="31"/>
      <c r="FV201" s="31"/>
      <c r="FW201" s="31"/>
      <c r="FX201" s="31"/>
      <c r="FY201" s="31"/>
      <c r="FZ201" s="31"/>
      <c r="GA201" s="31"/>
      <c r="GB201" s="31"/>
      <c r="GC201" s="31"/>
      <c r="GD201" s="31"/>
      <c r="GE201" s="31"/>
      <c r="GF201" s="31"/>
      <c r="GG201" s="31"/>
      <c r="GH201" s="31"/>
      <c r="GI201" s="31"/>
      <c r="GJ201" s="31"/>
      <c r="GK201" s="31"/>
      <c r="GL201" s="31"/>
      <c r="GM201" s="31"/>
      <c r="GN201" s="31"/>
      <c r="GO201" s="31"/>
      <c r="GP201" s="31"/>
      <c r="GQ201" s="31"/>
      <c r="GR201" s="31"/>
      <c r="GS201" s="31"/>
      <c r="GT201" s="31"/>
      <c r="GU201" s="31"/>
      <c r="GV201" s="31"/>
      <c r="GW201" s="31"/>
      <c r="GX201" s="31"/>
      <c r="GY201" s="31"/>
      <c r="GZ201" s="31"/>
      <c r="HA201" s="31"/>
      <c r="HB201" s="31"/>
      <c r="HC201" s="31"/>
      <c r="HD201" s="31"/>
      <c r="HE201" s="31"/>
      <c r="HF201" s="31"/>
      <c r="HG201" s="31"/>
      <c r="HH201" s="31"/>
      <c r="HI201" s="31"/>
      <c r="HJ201" s="31"/>
      <c r="HK201" s="31"/>
      <c r="HL201" s="31"/>
      <c r="HM201" s="31"/>
      <c r="HN201" s="31"/>
      <c r="HO201" s="31"/>
      <c r="HP201" s="31"/>
      <c r="HQ201" s="31"/>
      <c r="HR201" s="31"/>
      <c r="HS201" s="31"/>
      <c r="HT201" s="31"/>
      <c r="HU201" s="31"/>
      <c r="HV201" s="31"/>
      <c r="HW201" s="31"/>
      <c r="HX201" s="31"/>
      <c r="HY201" s="31"/>
      <c r="HZ201" s="31"/>
    </row>
    <row r="202" spans="1:234" ht="14.25" customHeight="1" x14ac:dyDescent="0.35">
      <c r="A202" s="88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30"/>
      <c r="U202" s="27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31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  <c r="BS202" s="31"/>
      <c r="BT202" s="31"/>
      <c r="BU202" s="31"/>
      <c r="BV202" s="31"/>
      <c r="BW202" s="31"/>
      <c r="BX202" s="31"/>
      <c r="BY202" s="31"/>
      <c r="BZ202" s="31"/>
      <c r="CA202" s="31"/>
      <c r="CB202" s="31"/>
      <c r="CC202" s="31"/>
      <c r="CD202" s="31"/>
      <c r="CE202" s="31"/>
      <c r="CF202" s="31"/>
      <c r="CG202" s="31"/>
      <c r="CH202" s="31"/>
      <c r="CI202" s="31"/>
      <c r="CJ202" s="31"/>
      <c r="CK202" s="31"/>
      <c r="CL202" s="31"/>
      <c r="CM202" s="31"/>
      <c r="CN202" s="31"/>
      <c r="CO202" s="31"/>
      <c r="CP202" s="31"/>
      <c r="CQ202" s="31"/>
      <c r="CR202" s="31"/>
      <c r="CS202" s="31"/>
      <c r="CT202" s="31"/>
      <c r="CU202" s="31"/>
      <c r="CV202" s="31"/>
      <c r="CW202" s="31"/>
      <c r="CX202" s="31"/>
      <c r="CY202" s="31"/>
      <c r="CZ202" s="31"/>
      <c r="DA202" s="31"/>
      <c r="DB202" s="31"/>
      <c r="DC202" s="31"/>
      <c r="DD202" s="31"/>
      <c r="DE202" s="31"/>
      <c r="DF202" s="31"/>
      <c r="DG202" s="31"/>
      <c r="DH202" s="31"/>
      <c r="DI202" s="31"/>
      <c r="DJ202" s="31"/>
      <c r="DK202" s="31"/>
      <c r="DL202" s="31"/>
      <c r="DM202" s="31"/>
      <c r="DN202" s="31"/>
      <c r="DO202" s="31"/>
      <c r="DP202" s="31"/>
      <c r="DQ202" s="31"/>
      <c r="DR202" s="31"/>
      <c r="DS202" s="31"/>
      <c r="DT202" s="31"/>
      <c r="DU202" s="31"/>
      <c r="DV202" s="31"/>
      <c r="DW202" s="31"/>
      <c r="DX202" s="31"/>
      <c r="DY202" s="31"/>
      <c r="DZ202" s="31"/>
      <c r="EA202" s="31"/>
      <c r="EB202" s="31"/>
      <c r="EC202" s="31"/>
      <c r="ED202" s="31"/>
      <c r="EE202" s="31"/>
      <c r="EF202" s="31"/>
      <c r="EG202" s="31"/>
      <c r="EH202" s="31"/>
      <c r="EI202" s="31"/>
      <c r="EJ202" s="31"/>
      <c r="EK202" s="31"/>
      <c r="EL202" s="31"/>
      <c r="EM202" s="31"/>
      <c r="EN202" s="31"/>
      <c r="EO202" s="31"/>
      <c r="EP202" s="31"/>
      <c r="EQ202" s="31"/>
      <c r="ER202" s="31"/>
      <c r="ES202" s="31"/>
      <c r="ET202" s="31"/>
      <c r="EU202" s="31"/>
      <c r="EV202" s="31"/>
      <c r="EW202" s="31"/>
      <c r="EX202" s="31"/>
      <c r="EY202" s="31"/>
      <c r="EZ202" s="31"/>
      <c r="FA202" s="31"/>
      <c r="FB202" s="31"/>
      <c r="FC202" s="31"/>
      <c r="FD202" s="31"/>
      <c r="FE202" s="31"/>
      <c r="FF202" s="31"/>
      <c r="FG202" s="31"/>
      <c r="FH202" s="31"/>
      <c r="FI202" s="31"/>
      <c r="FJ202" s="31"/>
      <c r="FK202" s="31"/>
      <c r="FL202" s="31"/>
      <c r="FM202" s="31"/>
      <c r="FN202" s="31"/>
      <c r="FO202" s="31"/>
      <c r="FP202" s="31"/>
      <c r="FQ202" s="31"/>
      <c r="FR202" s="31"/>
      <c r="FS202" s="31"/>
      <c r="FT202" s="31"/>
      <c r="FU202" s="31"/>
      <c r="FV202" s="31"/>
      <c r="FW202" s="31"/>
      <c r="FX202" s="31"/>
      <c r="FY202" s="31"/>
      <c r="FZ202" s="31"/>
      <c r="GA202" s="31"/>
      <c r="GB202" s="31"/>
      <c r="GC202" s="31"/>
      <c r="GD202" s="31"/>
      <c r="GE202" s="31"/>
      <c r="GF202" s="31"/>
      <c r="GG202" s="31"/>
      <c r="GH202" s="31"/>
      <c r="GI202" s="31"/>
      <c r="GJ202" s="31"/>
      <c r="GK202" s="31"/>
      <c r="GL202" s="31"/>
      <c r="GM202" s="31"/>
      <c r="GN202" s="31"/>
      <c r="GO202" s="31"/>
      <c r="GP202" s="31"/>
      <c r="GQ202" s="31"/>
      <c r="GR202" s="31"/>
      <c r="GS202" s="31"/>
      <c r="GT202" s="31"/>
      <c r="GU202" s="31"/>
      <c r="GV202" s="31"/>
      <c r="GW202" s="31"/>
      <c r="GX202" s="31"/>
      <c r="GY202" s="31"/>
      <c r="GZ202" s="31"/>
      <c r="HA202" s="31"/>
      <c r="HB202" s="31"/>
      <c r="HC202" s="31"/>
      <c r="HD202" s="31"/>
      <c r="HE202" s="31"/>
      <c r="HF202" s="31"/>
      <c r="HG202" s="31"/>
      <c r="HH202" s="31"/>
      <c r="HI202" s="31"/>
      <c r="HJ202" s="31"/>
      <c r="HK202" s="31"/>
      <c r="HL202" s="31"/>
      <c r="HM202" s="31"/>
      <c r="HN202" s="31"/>
      <c r="HO202" s="31"/>
      <c r="HP202" s="31"/>
      <c r="HQ202" s="31"/>
      <c r="HR202" s="31"/>
      <c r="HS202" s="31"/>
      <c r="HT202" s="31"/>
      <c r="HU202" s="31"/>
      <c r="HV202" s="31"/>
      <c r="HW202" s="31"/>
      <c r="HX202" s="31"/>
      <c r="HY202" s="31"/>
      <c r="HZ202" s="31"/>
    </row>
    <row r="203" spans="1:234" ht="14.25" customHeight="1" x14ac:dyDescent="0.35">
      <c r="A203" s="88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30"/>
      <c r="U203" s="27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31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  <c r="BS203" s="31"/>
      <c r="BT203" s="31"/>
      <c r="BU203" s="31"/>
      <c r="BV203" s="31"/>
      <c r="BW203" s="31"/>
      <c r="BX203" s="31"/>
      <c r="BY203" s="31"/>
      <c r="BZ203" s="31"/>
      <c r="CA203" s="31"/>
      <c r="CB203" s="31"/>
      <c r="CC203" s="31"/>
      <c r="CD203" s="31"/>
      <c r="CE203" s="31"/>
      <c r="CF203" s="31"/>
      <c r="CG203" s="31"/>
      <c r="CH203" s="31"/>
      <c r="CI203" s="31"/>
      <c r="CJ203" s="31"/>
      <c r="CK203" s="31"/>
      <c r="CL203" s="31"/>
      <c r="CM203" s="31"/>
      <c r="CN203" s="31"/>
      <c r="CO203" s="31"/>
      <c r="CP203" s="31"/>
      <c r="CQ203" s="31"/>
      <c r="CR203" s="31"/>
      <c r="CS203" s="31"/>
      <c r="CT203" s="31"/>
      <c r="CU203" s="31"/>
      <c r="CV203" s="31"/>
      <c r="CW203" s="31"/>
      <c r="CX203" s="31"/>
      <c r="CY203" s="31"/>
      <c r="CZ203" s="31"/>
      <c r="DA203" s="31"/>
      <c r="DB203" s="31"/>
      <c r="DC203" s="31"/>
      <c r="DD203" s="31"/>
      <c r="DE203" s="31"/>
      <c r="DF203" s="31"/>
      <c r="DG203" s="31"/>
      <c r="DH203" s="31"/>
      <c r="DI203" s="31"/>
      <c r="DJ203" s="31"/>
      <c r="DK203" s="31"/>
      <c r="DL203" s="31"/>
      <c r="DM203" s="31"/>
      <c r="DN203" s="31"/>
      <c r="DO203" s="31"/>
      <c r="DP203" s="31"/>
      <c r="DQ203" s="31"/>
      <c r="DR203" s="31"/>
      <c r="DS203" s="31"/>
      <c r="DT203" s="31"/>
      <c r="DU203" s="31"/>
      <c r="DV203" s="31"/>
      <c r="DW203" s="31"/>
      <c r="DX203" s="31"/>
      <c r="DY203" s="31"/>
      <c r="DZ203" s="31"/>
      <c r="EA203" s="31"/>
      <c r="EB203" s="31"/>
      <c r="EC203" s="31"/>
      <c r="ED203" s="31"/>
      <c r="EE203" s="31"/>
      <c r="EF203" s="31"/>
      <c r="EG203" s="31"/>
      <c r="EH203" s="31"/>
      <c r="EI203" s="31"/>
      <c r="EJ203" s="31"/>
      <c r="EK203" s="31"/>
      <c r="EL203" s="31"/>
      <c r="EM203" s="31"/>
      <c r="EN203" s="31"/>
      <c r="EO203" s="31"/>
      <c r="EP203" s="31"/>
      <c r="EQ203" s="31"/>
      <c r="ER203" s="31"/>
      <c r="ES203" s="31"/>
      <c r="ET203" s="31"/>
      <c r="EU203" s="31"/>
      <c r="EV203" s="31"/>
      <c r="EW203" s="31"/>
      <c r="EX203" s="31"/>
      <c r="EY203" s="31"/>
      <c r="EZ203" s="31"/>
      <c r="FA203" s="31"/>
      <c r="FB203" s="31"/>
      <c r="FC203" s="31"/>
      <c r="FD203" s="31"/>
      <c r="FE203" s="31"/>
      <c r="FF203" s="31"/>
      <c r="FG203" s="31"/>
      <c r="FH203" s="31"/>
      <c r="FI203" s="31"/>
      <c r="FJ203" s="31"/>
      <c r="FK203" s="31"/>
      <c r="FL203" s="31"/>
      <c r="FM203" s="31"/>
      <c r="FN203" s="31"/>
      <c r="FO203" s="31"/>
      <c r="FP203" s="31"/>
      <c r="FQ203" s="31"/>
      <c r="FR203" s="31"/>
      <c r="FS203" s="31"/>
      <c r="FT203" s="31"/>
      <c r="FU203" s="31"/>
      <c r="FV203" s="31"/>
      <c r="FW203" s="31"/>
      <c r="FX203" s="31"/>
      <c r="FY203" s="31"/>
      <c r="FZ203" s="31"/>
      <c r="GA203" s="31"/>
      <c r="GB203" s="31"/>
      <c r="GC203" s="31"/>
      <c r="GD203" s="31"/>
      <c r="GE203" s="31"/>
      <c r="GF203" s="31"/>
      <c r="GG203" s="31"/>
      <c r="GH203" s="31"/>
      <c r="GI203" s="31"/>
      <c r="GJ203" s="31"/>
      <c r="GK203" s="31"/>
      <c r="GL203" s="31"/>
      <c r="GM203" s="31"/>
      <c r="GN203" s="31"/>
      <c r="GO203" s="31"/>
      <c r="GP203" s="31"/>
      <c r="GQ203" s="31"/>
      <c r="GR203" s="31"/>
      <c r="GS203" s="31"/>
      <c r="GT203" s="31"/>
      <c r="GU203" s="31"/>
      <c r="GV203" s="31"/>
      <c r="GW203" s="31"/>
      <c r="GX203" s="31"/>
      <c r="GY203" s="31"/>
      <c r="GZ203" s="31"/>
      <c r="HA203" s="31"/>
      <c r="HB203" s="31"/>
      <c r="HC203" s="31"/>
      <c r="HD203" s="31"/>
      <c r="HE203" s="31"/>
      <c r="HF203" s="31"/>
      <c r="HG203" s="31"/>
      <c r="HH203" s="31"/>
      <c r="HI203" s="31"/>
      <c r="HJ203" s="31"/>
      <c r="HK203" s="31"/>
      <c r="HL203" s="31"/>
      <c r="HM203" s="31"/>
      <c r="HN203" s="31"/>
      <c r="HO203" s="31"/>
      <c r="HP203" s="31"/>
      <c r="HQ203" s="31"/>
      <c r="HR203" s="31"/>
      <c r="HS203" s="31"/>
      <c r="HT203" s="31"/>
      <c r="HU203" s="31"/>
      <c r="HV203" s="31"/>
      <c r="HW203" s="31"/>
      <c r="HX203" s="31"/>
      <c r="HY203" s="31"/>
      <c r="HZ203" s="31"/>
    </row>
    <row r="204" spans="1:234" ht="14.25" customHeight="1" x14ac:dyDescent="0.35">
      <c r="A204" s="88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30"/>
      <c r="U204" s="27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31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  <c r="BS204" s="31"/>
      <c r="BT204" s="31"/>
      <c r="BU204" s="31"/>
      <c r="BV204" s="31"/>
      <c r="BW204" s="31"/>
      <c r="BX204" s="31"/>
      <c r="BY204" s="31"/>
      <c r="BZ204" s="31"/>
      <c r="CA204" s="31"/>
      <c r="CB204" s="31"/>
      <c r="CC204" s="31"/>
      <c r="CD204" s="31"/>
      <c r="CE204" s="31"/>
      <c r="CF204" s="31"/>
      <c r="CG204" s="31"/>
      <c r="CH204" s="31"/>
      <c r="CI204" s="31"/>
      <c r="CJ204" s="31"/>
      <c r="CK204" s="31"/>
      <c r="CL204" s="31"/>
      <c r="CM204" s="31"/>
      <c r="CN204" s="31"/>
      <c r="CO204" s="31"/>
      <c r="CP204" s="31"/>
      <c r="CQ204" s="31"/>
      <c r="CR204" s="31"/>
      <c r="CS204" s="31"/>
      <c r="CT204" s="31"/>
      <c r="CU204" s="31"/>
      <c r="CV204" s="31"/>
      <c r="CW204" s="31"/>
      <c r="CX204" s="31"/>
      <c r="CY204" s="31"/>
      <c r="CZ204" s="31"/>
      <c r="DA204" s="31"/>
      <c r="DB204" s="31"/>
      <c r="DC204" s="31"/>
      <c r="DD204" s="31"/>
      <c r="DE204" s="31"/>
      <c r="DF204" s="31"/>
      <c r="DG204" s="31"/>
      <c r="DH204" s="31"/>
      <c r="DI204" s="31"/>
      <c r="DJ204" s="31"/>
      <c r="DK204" s="31"/>
      <c r="DL204" s="31"/>
      <c r="DM204" s="31"/>
      <c r="DN204" s="31"/>
      <c r="DO204" s="31"/>
      <c r="DP204" s="31"/>
      <c r="DQ204" s="31"/>
      <c r="DR204" s="31"/>
      <c r="DS204" s="31"/>
      <c r="DT204" s="31"/>
      <c r="DU204" s="31"/>
      <c r="DV204" s="31"/>
      <c r="DW204" s="31"/>
      <c r="DX204" s="31"/>
      <c r="DY204" s="31"/>
      <c r="DZ204" s="31"/>
      <c r="EA204" s="31"/>
      <c r="EB204" s="31"/>
      <c r="EC204" s="31"/>
      <c r="ED204" s="31"/>
      <c r="EE204" s="31"/>
      <c r="EF204" s="31"/>
      <c r="EG204" s="31"/>
      <c r="EH204" s="31"/>
      <c r="EI204" s="31"/>
      <c r="EJ204" s="31"/>
      <c r="EK204" s="31"/>
      <c r="EL204" s="31"/>
      <c r="EM204" s="31"/>
      <c r="EN204" s="31"/>
      <c r="EO204" s="31"/>
      <c r="EP204" s="31"/>
      <c r="EQ204" s="31"/>
      <c r="ER204" s="31"/>
      <c r="ES204" s="31"/>
      <c r="ET204" s="31"/>
      <c r="EU204" s="31"/>
      <c r="EV204" s="31"/>
      <c r="EW204" s="31"/>
      <c r="EX204" s="31"/>
      <c r="EY204" s="31"/>
      <c r="EZ204" s="31"/>
      <c r="FA204" s="31"/>
      <c r="FB204" s="31"/>
      <c r="FC204" s="31"/>
      <c r="FD204" s="31"/>
      <c r="FE204" s="31"/>
      <c r="FF204" s="31"/>
      <c r="FG204" s="31"/>
      <c r="FH204" s="31"/>
      <c r="FI204" s="31"/>
      <c r="FJ204" s="31"/>
      <c r="FK204" s="31"/>
      <c r="FL204" s="31"/>
      <c r="FM204" s="31"/>
      <c r="FN204" s="31"/>
      <c r="FO204" s="31"/>
      <c r="FP204" s="31"/>
      <c r="FQ204" s="31"/>
      <c r="FR204" s="31"/>
      <c r="FS204" s="31"/>
      <c r="FT204" s="31"/>
      <c r="FU204" s="31"/>
      <c r="FV204" s="31"/>
      <c r="FW204" s="31"/>
      <c r="FX204" s="31"/>
      <c r="FY204" s="31"/>
      <c r="FZ204" s="31"/>
      <c r="GA204" s="31"/>
      <c r="GB204" s="31"/>
      <c r="GC204" s="31"/>
      <c r="GD204" s="31"/>
      <c r="GE204" s="31"/>
      <c r="GF204" s="31"/>
      <c r="GG204" s="31"/>
      <c r="GH204" s="31"/>
      <c r="GI204" s="31"/>
      <c r="GJ204" s="31"/>
      <c r="GK204" s="31"/>
      <c r="GL204" s="31"/>
      <c r="GM204" s="31"/>
      <c r="GN204" s="31"/>
      <c r="GO204" s="31"/>
      <c r="GP204" s="31"/>
      <c r="GQ204" s="31"/>
      <c r="GR204" s="31"/>
      <c r="GS204" s="31"/>
      <c r="GT204" s="31"/>
      <c r="GU204" s="31"/>
      <c r="GV204" s="31"/>
      <c r="GW204" s="31"/>
      <c r="GX204" s="31"/>
      <c r="GY204" s="31"/>
      <c r="GZ204" s="31"/>
      <c r="HA204" s="31"/>
      <c r="HB204" s="31"/>
      <c r="HC204" s="31"/>
      <c r="HD204" s="31"/>
      <c r="HE204" s="31"/>
      <c r="HF204" s="31"/>
      <c r="HG204" s="31"/>
      <c r="HH204" s="31"/>
      <c r="HI204" s="31"/>
      <c r="HJ204" s="31"/>
      <c r="HK204" s="31"/>
      <c r="HL204" s="31"/>
      <c r="HM204" s="31"/>
      <c r="HN204" s="31"/>
      <c r="HO204" s="31"/>
      <c r="HP204" s="31"/>
      <c r="HQ204" s="31"/>
      <c r="HR204" s="31"/>
      <c r="HS204" s="31"/>
      <c r="HT204" s="31"/>
      <c r="HU204" s="31"/>
      <c r="HV204" s="31"/>
      <c r="HW204" s="31"/>
      <c r="HX204" s="31"/>
      <c r="HY204" s="31"/>
      <c r="HZ204" s="31"/>
    </row>
    <row r="205" spans="1:234" ht="14.25" customHeight="1" x14ac:dyDescent="0.35">
      <c r="A205" s="88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30"/>
      <c r="U205" s="27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  <c r="BG205" s="31"/>
      <c r="BH205" s="31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  <c r="BS205" s="31"/>
      <c r="BT205" s="31"/>
      <c r="BU205" s="31"/>
      <c r="BV205" s="31"/>
      <c r="BW205" s="31"/>
      <c r="BX205" s="31"/>
      <c r="BY205" s="31"/>
      <c r="BZ205" s="31"/>
      <c r="CA205" s="31"/>
      <c r="CB205" s="31"/>
      <c r="CC205" s="31"/>
      <c r="CD205" s="31"/>
      <c r="CE205" s="31"/>
      <c r="CF205" s="31"/>
      <c r="CG205" s="31"/>
      <c r="CH205" s="31"/>
      <c r="CI205" s="31"/>
      <c r="CJ205" s="31"/>
      <c r="CK205" s="31"/>
      <c r="CL205" s="31"/>
      <c r="CM205" s="31"/>
      <c r="CN205" s="31"/>
      <c r="CO205" s="31"/>
      <c r="CP205" s="31"/>
      <c r="CQ205" s="31"/>
      <c r="CR205" s="31"/>
      <c r="CS205" s="31"/>
      <c r="CT205" s="31"/>
      <c r="CU205" s="31"/>
      <c r="CV205" s="31"/>
      <c r="CW205" s="31"/>
      <c r="CX205" s="31"/>
      <c r="CY205" s="31"/>
      <c r="CZ205" s="31"/>
      <c r="DA205" s="31"/>
      <c r="DB205" s="31"/>
      <c r="DC205" s="31"/>
      <c r="DD205" s="31"/>
      <c r="DE205" s="31"/>
      <c r="DF205" s="31"/>
      <c r="DG205" s="31"/>
      <c r="DH205" s="31"/>
      <c r="DI205" s="31"/>
      <c r="DJ205" s="31"/>
      <c r="DK205" s="31"/>
      <c r="DL205" s="31"/>
      <c r="DM205" s="31"/>
      <c r="DN205" s="31"/>
      <c r="DO205" s="31"/>
      <c r="DP205" s="31"/>
      <c r="DQ205" s="31"/>
      <c r="DR205" s="31"/>
      <c r="DS205" s="31"/>
      <c r="DT205" s="31"/>
      <c r="DU205" s="31"/>
      <c r="DV205" s="31"/>
      <c r="DW205" s="31"/>
      <c r="DX205" s="31"/>
      <c r="DY205" s="31"/>
      <c r="DZ205" s="31"/>
      <c r="EA205" s="31"/>
      <c r="EB205" s="31"/>
      <c r="EC205" s="31"/>
      <c r="ED205" s="31"/>
      <c r="EE205" s="31"/>
      <c r="EF205" s="31"/>
      <c r="EG205" s="31"/>
      <c r="EH205" s="31"/>
      <c r="EI205" s="31"/>
      <c r="EJ205" s="31"/>
      <c r="EK205" s="31"/>
      <c r="EL205" s="31"/>
      <c r="EM205" s="31"/>
      <c r="EN205" s="31"/>
      <c r="EO205" s="31"/>
      <c r="EP205" s="31"/>
      <c r="EQ205" s="31"/>
      <c r="ER205" s="31"/>
      <c r="ES205" s="31"/>
      <c r="ET205" s="31"/>
      <c r="EU205" s="31"/>
      <c r="EV205" s="31"/>
      <c r="EW205" s="31"/>
      <c r="EX205" s="31"/>
      <c r="EY205" s="31"/>
      <c r="EZ205" s="31"/>
      <c r="FA205" s="31"/>
      <c r="FB205" s="31"/>
      <c r="FC205" s="31"/>
      <c r="FD205" s="31"/>
      <c r="FE205" s="31"/>
      <c r="FF205" s="31"/>
      <c r="FG205" s="31"/>
      <c r="FH205" s="31"/>
      <c r="FI205" s="31"/>
      <c r="FJ205" s="31"/>
      <c r="FK205" s="31"/>
      <c r="FL205" s="31"/>
      <c r="FM205" s="31"/>
      <c r="FN205" s="31"/>
      <c r="FO205" s="31"/>
      <c r="FP205" s="31"/>
      <c r="FQ205" s="31"/>
      <c r="FR205" s="31"/>
      <c r="FS205" s="31"/>
      <c r="FT205" s="31"/>
      <c r="FU205" s="31"/>
      <c r="FV205" s="31"/>
      <c r="FW205" s="31"/>
      <c r="FX205" s="31"/>
      <c r="FY205" s="31"/>
      <c r="FZ205" s="31"/>
      <c r="GA205" s="31"/>
      <c r="GB205" s="31"/>
      <c r="GC205" s="31"/>
      <c r="GD205" s="31"/>
      <c r="GE205" s="31"/>
      <c r="GF205" s="31"/>
      <c r="GG205" s="31"/>
      <c r="GH205" s="31"/>
      <c r="GI205" s="31"/>
      <c r="GJ205" s="31"/>
      <c r="GK205" s="31"/>
      <c r="GL205" s="31"/>
      <c r="GM205" s="31"/>
      <c r="GN205" s="31"/>
      <c r="GO205" s="31"/>
      <c r="GP205" s="31"/>
      <c r="GQ205" s="31"/>
      <c r="GR205" s="31"/>
      <c r="GS205" s="31"/>
      <c r="GT205" s="31"/>
      <c r="GU205" s="31"/>
      <c r="GV205" s="31"/>
      <c r="GW205" s="31"/>
      <c r="GX205" s="31"/>
      <c r="GY205" s="31"/>
      <c r="GZ205" s="31"/>
      <c r="HA205" s="31"/>
      <c r="HB205" s="31"/>
      <c r="HC205" s="31"/>
      <c r="HD205" s="31"/>
      <c r="HE205" s="31"/>
      <c r="HF205" s="31"/>
      <c r="HG205" s="31"/>
      <c r="HH205" s="31"/>
      <c r="HI205" s="31"/>
      <c r="HJ205" s="31"/>
      <c r="HK205" s="31"/>
      <c r="HL205" s="31"/>
      <c r="HM205" s="31"/>
      <c r="HN205" s="31"/>
      <c r="HO205" s="31"/>
      <c r="HP205" s="31"/>
      <c r="HQ205" s="31"/>
      <c r="HR205" s="31"/>
      <c r="HS205" s="31"/>
      <c r="HT205" s="31"/>
      <c r="HU205" s="31"/>
      <c r="HV205" s="31"/>
      <c r="HW205" s="31"/>
      <c r="HX205" s="31"/>
      <c r="HY205" s="31"/>
      <c r="HZ205" s="31"/>
    </row>
    <row r="206" spans="1:234" ht="14.25" customHeight="1" x14ac:dyDescent="0.35">
      <c r="A206" s="88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30"/>
      <c r="U206" s="27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  <c r="BG206" s="31"/>
      <c r="BH206" s="31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  <c r="BS206" s="31"/>
      <c r="BT206" s="31"/>
      <c r="BU206" s="31"/>
      <c r="BV206" s="31"/>
      <c r="BW206" s="31"/>
      <c r="BX206" s="31"/>
      <c r="BY206" s="31"/>
      <c r="BZ206" s="31"/>
      <c r="CA206" s="31"/>
      <c r="CB206" s="31"/>
      <c r="CC206" s="31"/>
      <c r="CD206" s="31"/>
      <c r="CE206" s="31"/>
      <c r="CF206" s="31"/>
      <c r="CG206" s="31"/>
      <c r="CH206" s="31"/>
      <c r="CI206" s="31"/>
      <c r="CJ206" s="31"/>
      <c r="CK206" s="31"/>
      <c r="CL206" s="31"/>
      <c r="CM206" s="31"/>
      <c r="CN206" s="31"/>
      <c r="CO206" s="31"/>
      <c r="CP206" s="31"/>
      <c r="CQ206" s="31"/>
      <c r="CR206" s="31"/>
      <c r="CS206" s="31"/>
      <c r="CT206" s="31"/>
      <c r="CU206" s="31"/>
      <c r="CV206" s="31"/>
      <c r="CW206" s="31"/>
      <c r="CX206" s="31"/>
      <c r="CY206" s="31"/>
      <c r="CZ206" s="31"/>
      <c r="DA206" s="31"/>
      <c r="DB206" s="31"/>
      <c r="DC206" s="31"/>
      <c r="DD206" s="31"/>
      <c r="DE206" s="31"/>
      <c r="DF206" s="31"/>
      <c r="DG206" s="31"/>
      <c r="DH206" s="31"/>
      <c r="DI206" s="31"/>
      <c r="DJ206" s="31"/>
      <c r="DK206" s="31"/>
      <c r="DL206" s="31"/>
      <c r="DM206" s="31"/>
      <c r="DN206" s="31"/>
      <c r="DO206" s="31"/>
      <c r="DP206" s="31"/>
      <c r="DQ206" s="31"/>
      <c r="DR206" s="31"/>
      <c r="DS206" s="31"/>
      <c r="DT206" s="31"/>
      <c r="DU206" s="31"/>
      <c r="DV206" s="31"/>
      <c r="DW206" s="31"/>
      <c r="DX206" s="31"/>
      <c r="DY206" s="31"/>
      <c r="DZ206" s="31"/>
      <c r="EA206" s="31"/>
      <c r="EB206" s="31"/>
      <c r="EC206" s="31"/>
      <c r="ED206" s="31"/>
      <c r="EE206" s="31"/>
      <c r="EF206" s="31"/>
      <c r="EG206" s="31"/>
      <c r="EH206" s="31"/>
      <c r="EI206" s="31"/>
      <c r="EJ206" s="31"/>
      <c r="EK206" s="31"/>
      <c r="EL206" s="31"/>
      <c r="EM206" s="31"/>
      <c r="EN206" s="31"/>
      <c r="EO206" s="31"/>
      <c r="EP206" s="31"/>
      <c r="EQ206" s="31"/>
      <c r="ER206" s="31"/>
      <c r="ES206" s="31"/>
      <c r="ET206" s="31"/>
      <c r="EU206" s="31"/>
      <c r="EV206" s="31"/>
      <c r="EW206" s="31"/>
      <c r="EX206" s="31"/>
      <c r="EY206" s="31"/>
      <c r="EZ206" s="31"/>
      <c r="FA206" s="31"/>
      <c r="FB206" s="31"/>
      <c r="FC206" s="31"/>
      <c r="FD206" s="31"/>
      <c r="FE206" s="31"/>
      <c r="FF206" s="31"/>
      <c r="FG206" s="31"/>
      <c r="FH206" s="31"/>
      <c r="FI206" s="31"/>
      <c r="FJ206" s="31"/>
      <c r="FK206" s="31"/>
      <c r="FL206" s="31"/>
      <c r="FM206" s="31"/>
      <c r="FN206" s="31"/>
      <c r="FO206" s="31"/>
      <c r="FP206" s="31"/>
      <c r="FQ206" s="31"/>
      <c r="FR206" s="31"/>
      <c r="FS206" s="31"/>
      <c r="FT206" s="31"/>
      <c r="FU206" s="31"/>
      <c r="FV206" s="31"/>
      <c r="FW206" s="31"/>
      <c r="FX206" s="31"/>
      <c r="FY206" s="31"/>
      <c r="FZ206" s="31"/>
      <c r="GA206" s="31"/>
      <c r="GB206" s="31"/>
      <c r="GC206" s="31"/>
      <c r="GD206" s="31"/>
      <c r="GE206" s="31"/>
      <c r="GF206" s="31"/>
      <c r="GG206" s="31"/>
      <c r="GH206" s="31"/>
      <c r="GI206" s="31"/>
      <c r="GJ206" s="31"/>
      <c r="GK206" s="31"/>
      <c r="GL206" s="31"/>
      <c r="GM206" s="31"/>
      <c r="GN206" s="31"/>
      <c r="GO206" s="31"/>
      <c r="GP206" s="31"/>
      <c r="GQ206" s="31"/>
      <c r="GR206" s="31"/>
      <c r="GS206" s="31"/>
      <c r="GT206" s="31"/>
      <c r="GU206" s="31"/>
      <c r="GV206" s="31"/>
      <c r="GW206" s="31"/>
      <c r="GX206" s="31"/>
      <c r="GY206" s="31"/>
      <c r="GZ206" s="31"/>
      <c r="HA206" s="31"/>
      <c r="HB206" s="31"/>
      <c r="HC206" s="31"/>
      <c r="HD206" s="31"/>
      <c r="HE206" s="31"/>
      <c r="HF206" s="31"/>
      <c r="HG206" s="31"/>
      <c r="HH206" s="31"/>
      <c r="HI206" s="31"/>
      <c r="HJ206" s="31"/>
      <c r="HK206" s="31"/>
      <c r="HL206" s="31"/>
      <c r="HM206" s="31"/>
      <c r="HN206" s="31"/>
      <c r="HO206" s="31"/>
      <c r="HP206" s="31"/>
      <c r="HQ206" s="31"/>
      <c r="HR206" s="31"/>
      <c r="HS206" s="31"/>
      <c r="HT206" s="31"/>
      <c r="HU206" s="31"/>
      <c r="HV206" s="31"/>
      <c r="HW206" s="31"/>
      <c r="HX206" s="31"/>
      <c r="HY206" s="31"/>
      <c r="HZ206" s="31"/>
    </row>
    <row r="207" spans="1:234" ht="14.25" customHeight="1" x14ac:dyDescent="0.35">
      <c r="A207" s="88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30"/>
      <c r="U207" s="27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31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  <c r="BS207" s="31"/>
      <c r="BT207" s="31"/>
      <c r="BU207" s="31"/>
      <c r="BV207" s="31"/>
      <c r="BW207" s="31"/>
      <c r="BX207" s="31"/>
      <c r="BY207" s="31"/>
      <c r="BZ207" s="31"/>
      <c r="CA207" s="31"/>
      <c r="CB207" s="31"/>
      <c r="CC207" s="31"/>
      <c r="CD207" s="31"/>
      <c r="CE207" s="31"/>
      <c r="CF207" s="31"/>
      <c r="CG207" s="31"/>
      <c r="CH207" s="31"/>
      <c r="CI207" s="31"/>
      <c r="CJ207" s="31"/>
      <c r="CK207" s="31"/>
      <c r="CL207" s="31"/>
      <c r="CM207" s="31"/>
      <c r="CN207" s="31"/>
      <c r="CO207" s="31"/>
      <c r="CP207" s="31"/>
      <c r="CQ207" s="31"/>
      <c r="CR207" s="31"/>
      <c r="CS207" s="31"/>
      <c r="CT207" s="31"/>
      <c r="CU207" s="31"/>
      <c r="CV207" s="31"/>
      <c r="CW207" s="31"/>
      <c r="CX207" s="31"/>
      <c r="CY207" s="31"/>
      <c r="CZ207" s="31"/>
      <c r="DA207" s="31"/>
      <c r="DB207" s="31"/>
      <c r="DC207" s="31"/>
      <c r="DD207" s="31"/>
      <c r="DE207" s="31"/>
      <c r="DF207" s="31"/>
      <c r="DG207" s="31"/>
      <c r="DH207" s="31"/>
      <c r="DI207" s="31"/>
      <c r="DJ207" s="31"/>
      <c r="DK207" s="31"/>
      <c r="DL207" s="31"/>
      <c r="DM207" s="31"/>
      <c r="DN207" s="31"/>
      <c r="DO207" s="31"/>
      <c r="DP207" s="31"/>
      <c r="DQ207" s="31"/>
      <c r="DR207" s="31"/>
      <c r="DS207" s="31"/>
      <c r="DT207" s="31"/>
      <c r="DU207" s="31"/>
      <c r="DV207" s="31"/>
      <c r="DW207" s="31"/>
      <c r="DX207" s="31"/>
      <c r="DY207" s="31"/>
      <c r="DZ207" s="31"/>
      <c r="EA207" s="31"/>
      <c r="EB207" s="31"/>
      <c r="EC207" s="31"/>
      <c r="ED207" s="31"/>
      <c r="EE207" s="31"/>
      <c r="EF207" s="31"/>
      <c r="EG207" s="31"/>
      <c r="EH207" s="31"/>
      <c r="EI207" s="31"/>
      <c r="EJ207" s="31"/>
      <c r="EK207" s="31"/>
      <c r="EL207" s="31"/>
      <c r="EM207" s="31"/>
      <c r="EN207" s="31"/>
      <c r="EO207" s="31"/>
      <c r="EP207" s="31"/>
      <c r="EQ207" s="31"/>
      <c r="ER207" s="31"/>
      <c r="ES207" s="31"/>
      <c r="ET207" s="31"/>
      <c r="EU207" s="31"/>
      <c r="EV207" s="31"/>
      <c r="EW207" s="31"/>
      <c r="EX207" s="31"/>
      <c r="EY207" s="31"/>
      <c r="EZ207" s="31"/>
      <c r="FA207" s="31"/>
      <c r="FB207" s="31"/>
      <c r="FC207" s="31"/>
      <c r="FD207" s="31"/>
      <c r="FE207" s="31"/>
      <c r="FF207" s="31"/>
      <c r="FG207" s="31"/>
      <c r="FH207" s="31"/>
      <c r="FI207" s="31"/>
      <c r="FJ207" s="31"/>
      <c r="FK207" s="31"/>
      <c r="FL207" s="31"/>
      <c r="FM207" s="31"/>
      <c r="FN207" s="31"/>
      <c r="FO207" s="31"/>
      <c r="FP207" s="31"/>
      <c r="FQ207" s="31"/>
      <c r="FR207" s="31"/>
      <c r="FS207" s="31"/>
      <c r="FT207" s="31"/>
      <c r="FU207" s="31"/>
      <c r="FV207" s="31"/>
      <c r="FW207" s="31"/>
      <c r="FX207" s="31"/>
      <c r="FY207" s="31"/>
      <c r="FZ207" s="31"/>
      <c r="GA207" s="31"/>
      <c r="GB207" s="31"/>
      <c r="GC207" s="31"/>
      <c r="GD207" s="31"/>
      <c r="GE207" s="31"/>
      <c r="GF207" s="31"/>
      <c r="GG207" s="31"/>
      <c r="GH207" s="31"/>
      <c r="GI207" s="31"/>
      <c r="GJ207" s="31"/>
      <c r="GK207" s="31"/>
      <c r="GL207" s="31"/>
      <c r="GM207" s="31"/>
      <c r="GN207" s="31"/>
      <c r="GO207" s="31"/>
      <c r="GP207" s="31"/>
      <c r="GQ207" s="31"/>
      <c r="GR207" s="31"/>
      <c r="GS207" s="31"/>
      <c r="GT207" s="31"/>
      <c r="GU207" s="31"/>
      <c r="GV207" s="31"/>
      <c r="GW207" s="31"/>
      <c r="GX207" s="31"/>
      <c r="GY207" s="31"/>
      <c r="GZ207" s="31"/>
      <c r="HA207" s="31"/>
      <c r="HB207" s="31"/>
      <c r="HC207" s="31"/>
      <c r="HD207" s="31"/>
      <c r="HE207" s="31"/>
      <c r="HF207" s="31"/>
      <c r="HG207" s="31"/>
      <c r="HH207" s="31"/>
      <c r="HI207" s="31"/>
      <c r="HJ207" s="31"/>
      <c r="HK207" s="31"/>
      <c r="HL207" s="31"/>
      <c r="HM207" s="31"/>
      <c r="HN207" s="31"/>
      <c r="HO207" s="31"/>
      <c r="HP207" s="31"/>
      <c r="HQ207" s="31"/>
      <c r="HR207" s="31"/>
      <c r="HS207" s="31"/>
      <c r="HT207" s="31"/>
      <c r="HU207" s="31"/>
      <c r="HV207" s="31"/>
      <c r="HW207" s="31"/>
      <c r="HX207" s="31"/>
      <c r="HY207" s="31"/>
      <c r="HZ207" s="31"/>
    </row>
    <row r="208" spans="1:234" ht="14.25" customHeight="1" x14ac:dyDescent="0.35">
      <c r="A208" s="88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30"/>
      <c r="U208" s="27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31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  <c r="BS208" s="31"/>
      <c r="BT208" s="31"/>
      <c r="BU208" s="31"/>
      <c r="BV208" s="31"/>
      <c r="BW208" s="31"/>
      <c r="BX208" s="31"/>
      <c r="BY208" s="31"/>
      <c r="BZ208" s="31"/>
      <c r="CA208" s="31"/>
      <c r="CB208" s="31"/>
      <c r="CC208" s="31"/>
      <c r="CD208" s="31"/>
      <c r="CE208" s="31"/>
      <c r="CF208" s="31"/>
      <c r="CG208" s="31"/>
      <c r="CH208" s="31"/>
      <c r="CI208" s="31"/>
      <c r="CJ208" s="31"/>
      <c r="CK208" s="31"/>
      <c r="CL208" s="31"/>
      <c r="CM208" s="31"/>
      <c r="CN208" s="31"/>
      <c r="CO208" s="31"/>
      <c r="CP208" s="31"/>
      <c r="CQ208" s="31"/>
      <c r="CR208" s="31"/>
      <c r="CS208" s="31"/>
      <c r="CT208" s="31"/>
      <c r="CU208" s="31"/>
      <c r="CV208" s="31"/>
      <c r="CW208" s="31"/>
      <c r="CX208" s="31"/>
      <c r="CY208" s="31"/>
      <c r="CZ208" s="31"/>
      <c r="DA208" s="31"/>
      <c r="DB208" s="31"/>
      <c r="DC208" s="31"/>
      <c r="DD208" s="31"/>
      <c r="DE208" s="31"/>
      <c r="DF208" s="31"/>
      <c r="DG208" s="31"/>
      <c r="DH208" s="31"/>
      <c r="DI208" s="31"/>
      <c r="DJ208" s="31"/>
      <c r="DK208" s="31"/>
      <c r="DL208" s="31"/>
      <c r="DM208" s="31"/>
      <c r="DN208" s="31"/>
      <c r="DO208" s="31"/>
      <c r="DP208" s="31"/>
      <c r="DQ208" s="31"/>
      <c r="DR208" s="31"/>
      <c r="DS208" s="31"/>
      <c r="DT208" s="31"/>
      <c r="DU208" s="31"/>
      <c r="DV208" s="31"/>
      <c r="DW208" s="31"/>
      <c r="DX208" s="31"/>
      <c r="DY208" s="31"/>
      <c r="DZ208" s="31"/>
      <c r="EA208" s="31"/>
      <c r="EB208" s="31"/>
      <c r="EC208" s="31"/>
      <c r="ED208" s="31"/>
      <c r="EE208" s="31"/>
      <c r="EF208" s="31"/>
      <c r="EG208" s="31"/>
      <c r="EH208" s="31"/>
      <c r="EI208" s="31"/>
      <c r="EJ208" s="31"/>
      <c r="EK208" s="31"/>
      <c r="EL208" s="31"/>
      <c r="EM208" s="31"/>
      <c r="EN208" s="31"/>
      <c r="EO208" s="31"/>
      <c r="EP208" s="31"/>
      <c r="EQ208" s="31"/>
      <c r="ER208" s="31"/>
      <c r="ES208" s="31"/>
      <c r="ET208" s="31"/>
      <c r="EU208" s="31"/>
      <c r="EV208" s="31"/>
      <c r="EW208" s="31"/>
      <c r="EX208" s="31"/>
      <c r="EY208" s="31"/>
      <c r="EZ208" s="31"/>
      <c r="FA208" s="31"/>
      <c r="FB208" s="31"/>
      <c r="FC208" s="31"/>
      <c r="FD208" s="31"/>
      <c r="FE208" s="31"/>
      <c r="FF208" s="31"/>
      <c r="FG208" s="31"/>
      <c r="FH208" s="31"/>
      <c r="FI208" s="31"/>
      <c r="FJ208" s="31"/>
      <c r="FK208" s="31"/>
      <c r="FL208" s="31"/>
      <c r="FM208" s="31"/>
      <c r="FN208" s="31"/>
      <c r="FO208" s="31"/>
      <c r="FP208" s="31"/>
      <c r="FQ208" s="31"/>
      <c r="FR208" s="31"/>
      <c r="FS208" s="31"/>
      <c r="FT208" s="31"/>
      <c r="FU208" s="31"/>
      <c r="FV208" s="31"/>
      <c r="FW208" s="31"/>
      <c r="FX208" s="31"/>
      <c r="FY208" s="31"/>
      <c r="FZ208" s="31"/>
      <c r="GA208" s="31"/>
      <c r="GB208" s="31"/>
      <c r="GC208" s="31"/>
      <c r="GD208" s="31"/>
      <c r="GE208" s="31"/>
      <c r="GF208" s="31"/>
      <c r="GG208" s="31"/>
      <c r="GH208" s="31"/>
      <c r="GI208" s="31"/>
      <c r="GJ208" s="31"/>
      <c r="GK208" s="31"/>
      <c r="GL208" s="31"/>
      <c r="GM208" s="31"/>
      <c r="GN208" s="31"/>
      <c r="GO208" s="31"/>
      <c r="GP208" s="31"/>
      <c r="GQ208" s="31"/>
      <c r="GR208" s="31"/>
      <c r="GS208" s="31"/>
      <c r="GT208" s="31"/>
      <c r="GU208" s="31"/>
      <c r="GV208" s="31"/>
      <c r="GW208" s="31"/>
      <c r="GX208" s="31"/>
      <c r="GY208" s="31"/>
      <c r="GZ208" s="31"/>
      <c r="HA208" s="31"/>
      <c r="HB208" s="31"/>
      <c r="HC208" s="31"/>
      <c r="HD208" s="31"/>
      <c r="HE208" s="31"/>
      <c r="HF208" s="31"/>
      <c r="HG208" s="31"/>
      <c r="HH208" s="31"/>
      <c r="HI208" s="31"/>
      <c r="HJ208" s="31"/>
      <c r="HK208" s="31"/>
      <c r="HL208" s="31"/>
      <c r="HM208" s="31"/>
      <c r="HN208" s="31"/>
      <c r="HO208" s="31"/>
      <c r="HP208" s="31"/>
      <c r="HQ208" s="31"/>
      <c r="HR208" s="31"/>
      <c r="HS208" s="31"/>
      <c r="HT208" s="31"/>
      <c r="HU208" s="31"/>
      <c r="HV208" s="31"/>
      <c r="HW208" s="31"/>
      <c r="HX208" s="31"/>
      <c r="HY208" s="31"/>
      <c r="HZ208" s="31"/>
    </row>
    <row r="209" spans="1:234" ht="14.25" customHeight="1" x14ac:dyDescent="0.35">
      <c r="A209" s="88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30"/>
      <c r="U209" s="27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31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  <c r="BS209" s="31"/>
      <c r="BT209" s="31"/>
      <c r="BU209" s="31"/>
      <c r="BV209" s="31"/>
      <c r="BW209" s="31"/>
      <c r="BX209" s="31"/>
      <c r="BY209" s="31"/>
      <c r="BZ209" s="31"/>
      <c r="CA209" s="31"/>
      <c r="CB209" s="31"/>
      <c r="CC209" s="31"/>
      <c r="CD209" s="31"/>
      <c r="CE209" s="31"/>
      <c r="CF209" s="31"/>
      <c r="CG209" s="31"/>
      <c r="CH209" s="31"/>
      <c r="CI209" s="31"/>
      <c r="CJ209" s="31"/>
      <c r="CK209" s="31"/>
      <c r="CL209" s="31"/>
      <c r="CM209" s="31"/>
      <c r="CN209" s="31"/>
      <c r="CO209" s="31"/>
      <c r="CP209" s="31"/>
      <c r="CQ209" s="31"/>
      <c r="CR209" s="31"/>
      <c r="CS209" s="31"/>
      <c r="CT209" s="31"/>
      <c r="CU209" s="31"/>
      <c r="CV209" s="31"/>
      <c r="CW209" s="31"/>
      <c r="CX209" s="31"/>
      <c r="CY209" s="31"/>
      <c r="CZ209" s="31"/>
      <c r="DA209" s="31"/>
      <c r="DB209" s="31"/>
      <c r="DC209" s="31"/>
      <c r="DD209" s="31"/>
      <c r="DE209" s="31"/>
      <c r="DF209" s="31"/>
      <c r="DG209" s="31"/>
      <c r="DH209" s="31"/>
      <c r="DI209" s="31"/>
      <c r="DJ209" s="31"/>
      <c r="DK209" s="31"/>
      <c r="DL209" s="31"/>
      <c r="DM209" s="31"/>
      <c r="DN209" s="31"/>
      <c r="DO209" s="31"/>
      <c r="DP209" s="31"/>
      <c r="DQ209" s="31"/>
      <c r="DR209" s="31"/>
      <c r="DS209" s="31"/>
      <c r="DT209" s="31"/>
      <c r="DU209" s="31"/>
      <c r="DV209" s="31"/>
      <c r="DW209" s="31"/>
      <c r="DX209" s="31"/>
      <c r="DY209" s="31"/>
      <c r="DZ209" s="31"/>
      <c r="EA209" s="31"/>
      <c r="EB209" s="31"/>
      <c r="EC209" s="31"/>
      <c r="ED209" s="31"/>
      <c r="EE209" s="31"/>
      <c r="EF209" s="31"/>
      <c r="EG209" s="31"/>
      <c r="EH209" s="31"/>
      <c r="EI209" s="31"/>
      <c r="EJ209" s="31"/>
      <c r="EK209" s="31"/>
      <c r="EL209" s="31"/>
      <c r="EM209" s="31"/>
      <c r="EN209" s="31"/>
      <c r="EO209" s="31"/>
      <c r="EP209" s="31"/>
      <c r="EQ209" s="31"/>
      <c r="ER209" s="31"/>
      <c r="ES209" s="31"/>
      <c r="ET209" s="31"/>
      <c r="EU209" s="31"/>
      <c r="EV209" s="31"/>
      <c r="EW209" s="31"/>
      <c r="EX209" s="31"/>
      <c r="EY209" s="31"/>
      <c r="EZ209" s="31"/>
      <c r="FA209" s="31"/>
      <c r="FB209" s="31"/>
      <c r="FC209" s="31"/>
      <c r="FD209" s="31"/>
      <c r="FE209" s="31"/>
      <c r="FF209" s="31"/>
      <c r="FG209" s="31"/>
      <c r="FH209" s="31"/>
      <c r="FI209" s="31"/>
      <c r="FJ209" s="31"/>
      <c r="FK209" s="31"/>
      <c r="FL209" s="31"/>
      <c r="FM209" s="31"/>
      <c r="FN209" s="31"/>
      <c r="FO209" s="31"/>
      <c r="FP209" s="31"/>
      <c r="FQ209" s="31"/>
      <c r="FR209" s="31"/>
      <c r="FS209" s="31"/>
      <c r="FT209" s="31"/>
      <c r="FU209" s="31"/>
      <c r="FV209" s="31"/>
      <c r="FW209" s="31"/>
      <c r="FX209" s="31"/>
      <c r="FY209" s="31"/>
      <c r="FZ209" s="31"/>
      <c r="GA209" s="31"/>
      <c r="GB209" s="31"/>
      <c r="GC209" s="31"/>
      <c r="GD209" s="31"/>
      <c r="GE209" s="31"/>
      <c r="GF209" s="31"/>
      <c r="GG209" s="31"/>
      <c r="GH209" s="31"/>
      <c r="GI209" s="31"/>
      <c r="GJ209" s="31"/>
      <c r="GK209" s="31"/>
      <c r="GL209" s="31"/>
      <c r="GM209" s="31"/>
      <c r="GN209" s="31"/>
      <c r="GO209" s="31"/>
      <c r="GP209" s="31"/>
      <c r="GQ209" s="31"/>
      <c r="GR209" s="31"/>
      <c r="GS209" s="31"/>
      <c r="GT209" s="31"/>
      <c r="GU209" s="31"/>
      <c r="GV209" s="31"/>
      <c r="GW209" s="31"/>
      <c r="GX209" s="31"/>
      <c r="GY209" s="31"/>
      <c r="GZ209" s="31"/>
      <c r="HA209" s="31"/>
      <c r="HB209" s="31"/>
      <c r="HC209" s="31"/>
      <c r="HD209" s="31"/>
      <c r="HE209" s="31"/>
      <c r="HF209" s="31"/>
      <c r="HG209" s="31"/>
      <c r="HH209" s="31"/>
      <c r="HI209" s="31"/>
      <c r="HJ209" s="31"/>
      <c r="HK209" s="31"/>
      <c r="HL209" s="31"/>
      <c r="HM209" s="31"/>
      <c r="HN209" s="31"/>
      <c r="HO209" s="31"/>
      <c r="HP209" s="31"/>
      <c r="HQ209" s="31"/>
      <c r="HR209" s="31"/>
      <c r="HS209" s="31"/>
      <c r="HT209" s="31"/>
      <c r="HU209" s="31"/>
      <c r="HV209" s="31"/>
      <c r="HW209" s="31"/>
      <c r="HX209" s="31"/>
      <c r="HY209" s="31"/>
      <c r="HZ209" s="31"/>
    </row>
    <row r="210" spans="1:234" ht="14.25" customHeight="1" x14ac:dyDescent="0.35">
      <c r="A210" s="88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30"/>
      <c r="U210" s="27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31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  <c r="BS210" s="31"/>
      <c r="BT210" s="31"/>
      <c r="BU210" s="31"/>
      <c r="BV210" s="31"/>
      <c r="BW210" s="31"/>
      <c r="BX210" s="31"/>
      <c r="BY210" s="31"/>
      <c r="BZ210" s="31"/>
      <c r="CA210" s="31"/>
      <c r="CB210" s="31"/>
      <c r="CC210" s="31"/>
      <c r="CD210" s="31"/>
      <c r="CE210" s="31"/>
      <c r="CF210" s="31"/>
      <c r="CG210" s="31"/>
      <c r="CH210" s="31"/>
      <c r="CI210" s="31"/>
      <c r="CJ210" s="31"/>
      <c r="CK210" s="31"/>
      <c r="CL210" s="31"/>
      <c r="CM210" s="31"/>
      <c r="CN210" s="31"/>
      <c r="CO210" s="31"/>
      <c r="CP210" s="31"/>
      <c r="CQ210" s="31"/>
      <c r="CR210" s="31"/>
      <c r="CS210" s="31"/>
      <c r="CT210" s="31"/>
      <c r="CU210" s="31"/>
      <c r="CV210" s="31"/>
      <c r="CW210" s="31"/>
      <c r="CX210" s="31"/>
      <c r="CY210" s="31"/>
      <c r="CZ210" s="31"/>
      <c r="DA210" s="31"/>
      <c r="DB210" s="31"/>
      <c r="DC210" s="31"/>
      <c r="DD210" s="31"/>
      <c r="DE210" s="31"/>
      <c r="DF210" s="31"/>
      <c r="DG210" s="31"/>
      <c r="DH210" s="31"/>
      <c r="DI210" s="31"/>
      <c r="DJ210" s="31"/>
      <c r="DK210" s="31"/>
      <c r="DL210" s="31"/>
      <c r="DM210" s="31"/>
      <c r="DN210" s="31"/>
      <c r="DO210" s="31"/>
      <c r="DP210" s="31"/>
      <c r="DQ210" s="31"/>
      <c r="DR210" s="31"/>
      <c r="DS210" s="31"/>
      <c r="DT210" s="31"/>
      <c r="DU210" s="31"/>
      <c r="DV210" s="31"/>
      <c r="DW210" s="31"/>
      <c r="DX210" s="31"/>
      <c r="DY210" s="31"/>
      <c r="DZ210" s="31"/>
      <c r="EA210" s="31"/>
      <c r="EB210" s="31"/>
      <c r="EC210" s="31"/>
      <c r="ED210" s="31"/>
      <c r="EE210" s="31"/>
      <c r="EF210" s="31"/>
      <c r="EG210" s="31"/>
      <c r="EH210" s="31"/>
      <c r="EI210" s="31"/>
      <c r="EJ210" s="31"/>
      <c r="EK210" s="31"/>
      <c r="EL210" s="31"/>
      <c r="EM210" s="31"/>
      <c r="EN210" s="31"/>
      <c r="EO210" s="31"/>
      <c r="EP210" s="31"/>
      <c r="EQ210" s="31"/>
      <c r="ER210" s="31"/>
      <c r="ES210" s="31"/>
      <c r="ET210" s="31"/>
      <c r="EU210" s="31"/>
      <c r="EV210" s="31"/>
      <c r="EW210" s="31"/>
      <c r="EX210" s="31"/>
      <c r="EY210" s="31"/>
      <c r="EZ210" s="31"/>
      <c r="FA210" s="31"/>
      <c r="FB210" s="31"/>
      <c r="FC210" s="31"/>
      <c r="FD210" s="31"/>
      <c r="FE210" s="31"/>
      <c r="FF210" s="31"/>
      <c r="FG210" s="31"/>
      <c r="FH210" s="31"/>
      <c r="FI210" s="31"/>
      <c r="FJ210" s="31"/>
      <c r="FK210" s="31"/>
      <c r="FL210" s="31"/>
      <c r="FM210" s="31"/>
      <c r="FN210" s="31"/>
      <c r="FO210" s="31"/>
      <c r="FP210" s="31"/>
      <c r="FQ210" s="31"/>
      <c r="FR210" s="31"/>
      <c r="FS210" s="31"/>
      <c r="FT210" s="31"/>
      <c r="FU210" s="31"/>
      <c r="FV210" s="31"/>
      <c r="FW210" s="31"/>
      <c r="FX210" s="31"/>
      <c r="FY210" s="31"/>
      <c r="FZ210" s="31"/>
      <c r="GA210" s="31"/>
      <c r="GB210" s="31"/>
      <c r="GC210" s="31"/>
      <c r="GD210" s="31"/>
      <c r="GE210" s="31"/>
      <c r="GF210" s="31"/>
      <c r="GG210" s="31"/>
      <c r="GH210" s="31"/>
      <c r="GI210" s="31"/>
      <c r="GJ210" s="31"/>
      <c r="GK210" s="31"/>
      <c r="GL210" s="31"/>
      <c r="GM210" s="31"/>
      <c r="GN210" s="31"/>
      <c r="GO210" s="31"/>
      <c r="GP210" s="31"/>
      <c r="GQ210" s="31"/>
      <c r="GR210" s="31"/>
      <c r="GS210" s="31"/>
      <c r="GT210" s="31"/>
      <c r="GU210" s="31"/>
      <c r="GV210" s="31"/>
      <c r="GW210" s="31"/>
      <c r="GX210" s="31"/>
      <c r="GY210" s="31"/>
      <c r="GZ210" s="31"/>
      <c r="HA210" s="31"/>
      <c r="HB210" s="31"/>
      <c r="HC210" s="31"/>
      <c r="HD210" s="31"/>
      <c r="HE210" s="31"/>
      <c r="HF210" s="31"/>
      <c r="HG210" s="31"/>
      <c r="HH210" s="31"/>
      <c r="HI210" s="31"/>
      <c r="HJ210" s="31"/>
      <c r="HK210" s="31"/>
      <c r="HL210" s="31"/>
      <c r="HM210" s="31"/>
      <c r="HN210" s="31"/>
      <c r="HO210" s="31"/>
      <c r="HP210" s="31"/>
      <c r="HQ210" s="31"/>
      <c r="HR210" s="31"/>
      <c r="HS210" s="31"/>
      <c r="HT210" s="31"/>
      <c r="HU210" s="31"/>
      <c r="HV210" s="31"/>
      <c r="HW210" s="31"/>
      <c r="HX210" s="31"/>
      <c r="HY210" s="31"/>
      <c r="HZ210" s="31"/>
    </row>
    <row r="211" spans="1:234" ht="14.25" customHeight="1" x14ac:dyDescent="0.35">
      <c r="A211" s="88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30"/>
      <c r="U211" s="27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  <c r="BS211" s="31"/>
      <c r="BT211" s="31"/>
      <c r="BU211" s="31"/>
      <c r="BV211" s="31"/>
      <c r="BW211" s="31"/>
      <c r="BX211" s="31"/>
      <c r="BY211" s="31"/>
      <c r="BZ211" s="31"/>
      <c r="CA211" s="31"/>
      <c r="CB211" s="31"/>
      <c r="CC211" s="31"/>
      <c r="CD211" s="31"/>
      <c r="CE211" s="31"/>
      <c r="CF211" s="31"/>
      <c r="CG211" s="31"/>
      <c r="CH211" s="31"/>
      <c r="CI211" s="31"/>
      <c r="CJ211" s="31"/>
      <c r="CK211" s="31"/>
      <c r="CL211" s="31"/>
      <c r="CM211" s="31"/>
      <c r="CN211" s="31"/>
      <c r="CO211" s="31"/>
      <c r="CP211" s="31"/>
      <c r="CQ211" s="31"/>
      <c r="CR211" s="31"/>
      <c r="CS211" s="31"/>
      <c r="CT211" s="31"/>
      <c r="CU211" s="31"/>
      <c r="CV211" s="31"/>
      <c r="CW211" s="31"/>
      <c r="CX211" s="31"/>
      <c r="CY211" s="31"/>
      <c r="CZ211" s="31"/>
      <c r="DA211" s="31"/>
      <c r="DB211" s="31"/>
      <c r="DC211" s="31"/>
      <c r="DD211" s="31"/>
      <c r="DE211" s="31"/>
      <c r="DF211" s="31"/>
      <c r="DG211" s="31"/>
      <c r="DH211" s="31"/>
      <c r="DI211" s="31"/>
      <c r="DJ211" s="31"/>
      <c r="DK211" s="31"/>
      <c r="DL211" s="31"/>
      <c r="DM211" s="31"/>
      <c r="DN211" s="31"/>
      <c r="DO211" s="31"/>
      <c r="DP211" s="31"/>
      <c r="DQ211" s="31"/>
      <c r="DR211" s="31"/>
      <c r="DS211" s="31"/>
      <c r="DT211" s="31"/>
      <c r="DU211" s="31"/>
      <c r="DV211" s="31"/>
      <c r="DW211" s="31"/>
      <c r="DX211" s="31"/>
      <c r="DY211" s="31"/>
      <c r="DZ211" s="31"/>
      <c r="EA211" s="31"/>
      <c r="EB211" s="31"/>
      <c r="EC211" s="31"/>
      <c r="ED211" s="31"/>
      <c r="EE211" s="31"/>
      <c r="EF211" s="31"/>
      <c r="EG211" s="31"/>
      <c r="EH211" s="31"/>
      <c r="EI211" s="31"/>
      <c r="EJ211" s="31"/>
      <c r="EK211" s="31"/>
      <c r="EL211" s="31"/>
      <c r="EM211" s="31"/>
      <c r="EN211" s="31"/>
      <c r="EO211" s="31"/>
      <c r="EP211" s="31"/>
      <c r="EQ211" s="31"/>
      <c r="ER211" s="31"/>
      <c r="ES211" s="31"/>
      <c r="ET211" s="31"/>
      <c r="EU211" s="31"/>
      <c r="EV211" s="31"/>
      <c r="EW211" s="31"/>
      <c r="EX211" s="31"/>
      <c r="EY211" s="31"/>
      <c r="EZ211" s="31"/>
      <c r="FA211" s="31"/>
      <c r="FB211" s="31"/>
      <c r="FC211" s="31"/>
      <c r="FD211" s="31"/>
      <c r="FE211" s="31"/>
      <c r="FF211" s="31"/>
      <c r="FG211" s="31"/>
      <c r="FH211" s="31"/>
      <c r="FI211" s="31"/>
      <c r="FJ211" s="31"/>
      <c r="FK211" s="31"/>
      <c r="FL211" s="31"/>
      <c r="FM211" s="31"/>
      <c r="FN211" s="31"/>
      <c r="FO211" s="31"/>
      <c r="FP211" s="31"/>
      <c r="FQ211" s="31"/>
      <c r="FR211" s="31"/>
      <c r="FS211" s="31"/>
      <c r="FT211" s="31"/>
      <c r="FU211" s="31"/>
      <c r="FV211" s="31"/>
      <c r="FW211" s="31"/>
      <c r="FX211" s="31"/>
      <c r="FY211" s="31"/>
      <c r="FZ211" s="31"/>
      <c r="GA211" s="31"/>
      <c r="GB211" s="31"/>
      <c r="GC211" s="31"/>
      <c r="GD211" s="31"/>
      <c r="GE211" s="31"/>
      <c r="GF211" s="31"/>
      <c r="GG211" s="31"/>
      <c r="GH211" s="31"/>
      <c r="GI211" s="31"/>
      <c r="GJ211" s="31"/>
      <c r="GK211" s="31"/>
      <c r="GL211" s="31"/>
      <c r="GM211" s="31"/>
      <c r="GN211" s="31"/>
      <c r="GO211" s="31"/>
      <c r="GP211" s="31"/>
      <c r="GQ211" s="31"/>
      <c r="GR211" s="31"/>
      <c r="GS211" s="31"/>
      <c r="GT211" s="31"/>
      <c r="GU211" s="31"/>
      <c r="GV211" s="31"/>
      <c r="GW211" s="31"/>
      <c r="GX211" s="31"/>
      <c r="GY211" s="31"/>
      <c r="GZ211" s="31"/>
      <c r="HA211" s="31"/>
      <c r="HB211" s="31"/>
      <c r="HC211" s="31"/>
      <c r="HD211" s="31"/>
      <c r="HE211" s="31"/>
      <c r="HF211" s="31"/>
      <c r="HG211" s="31"/>
      <c r="HH211" s="31"/>
      <c r="HI211" s="31"/>
      <c r="HJ211" s="31"/>
      <c r="HK211" s="31"/>
      <c r="HL211" s="31"/>
      <c r="HM211" s="31"/>
      <c r="HN211" s="31"/>
      <c r="HO211" s="31"/>
      <c r="HP211" s="31"/>
      <c r="HQ211" s="31"/>
      <c r="HR211" s="31"/>
      <c r="HS211" s="31"/>
      <c r="HT211" s="31"/>
      <c r="HU211" s="31"/>
      <c r="HV211" s="31"/>
      <c r="HW211" s="31"/>
      <c r="HX211" s="31"/>
      <c r="HY211" s="31"/>
      <c r="HZ211" s="31"/>
    </row>
    <row r="212" spans="1:234" ht="14.25" customHeight="1" x14ac:dyDescent="0.35">
      <c r="A212" s="88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30"/>
      <c r="U212" s="27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  <c r="BE212" s="31"/>
      <c r="BF212" s="31"/>
      <c r="BG212" s="31"/>
      <c r="BH212" s="31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  <c r="BS212" s="31"/>
      <c r="BT212" s="31"/>
      <c r="BU212" s="31"/>
      <c r="BV212" s="31"/>
      <c r="BW212" s="31"/>
      <c r="BX212" s="31"/>
      <c r="BY212" s="31"/>
      <c r="BZ212" s="31"/>
      <c r="CA212" s="31"/>
      <c r="CB212" s="31"/>
      <c r="CC212" s="31"/>
      <c r="CD212" s="31"/>
      <c r="CE212" s="31"/>
      <c r="CF212" s="31"/>
      <c r="CG212" s="31"/>
      <c r="CH212" s="31"/>
      <c r="CI212" s="31"/>
      <c r="CJ212" s="31"/>
      <c r="CK212" s="31"/>
      <c r="CL212" s="31"/>
      <c r="CM212" s="31"/>
      <c r="CN212" s="31"/>
      <c r="CO212" s="31"/>
      <c r="CP212" s="31"/>
      <c r="CQ212" s="31"/>
      <c r="CR212" s="31"/>
      <c r="CS212" s="31"/>
      <c r="CT212" s="31"/>
      <c r="CU212" s="31"/>
      <c r="CV212" s="31"/>
      <c r="CW212" s="31"/>
      <c r="CX212" s="31"/>
      <c r="CY212" s="31"/>
      <c r="CZ212" s="31"/>
      <c r="DA212" s="31"/>
      <c r="DB212" s="31"/>
      <c r="DC212" s="31"/>
      <c r="DD212" s="31"/>
      <c r="DE212" s="31"/>
      <c r="DF212" s="31"/>
      <c r="DG212" s="31"/>
      <c r="DH212" s="31"/>
      <c r="DI212" s="31"/>
      <c r="DJ212" s="31"/>
      <c r="DK212" s="31"/>
      <c r="DL212" s="31"/>
      <c r="DM212" s="31"/>
      <c r="DN212" s="31"/>
      <c r="DO212" s="31"/>
      <c r="DP212" s="31"/>
      <c r="DQ212" s="31"/>
      <c r="DR212" s="31"/>
      <c r="DS212" s="31"/>
      <c r="DT212" s="31"/>
      <c r="DU212" s="31"/>
      <c r="DV212" s="31"/>
      <c r="DW212" s="31"/>
      <c r="DX212" s="31"/>
      <c r="DY212" s="31"/>
      <c r="DZ212" s="31"/>
      <c r="EA212" s="31"/>
      <c r="EB212" s="31"/>
      <c r="EC212" s="31"/>
      <c r="ED212" s="31"/>
      <c r="EE212" s="31"/>
      <c r="EF212" s="31"/>
      <c r="EG212" s="31"/>
      <c r="EH212" s="31"/>
      <c r="EI212" s="31"/>
      <c r="EJ212" s="31"/>
      <c r="EK212" s="31"/>
      <c r="EL212" s="31"/>
      <c r="EM212" s="31"/>
      <c r="EN212" s="31"/>
      <c r="EO212" s="31"/>
      <c r="EP212" s="31"/>
      <c r="EQ212" s="31"/>
      <c r="ER212" s="31"/>
      <c r="ES212" s="31"/>
      <c r="ET212" s="31"/>
      <c r="EU212" s="31"/>
      <c r="EV212" s="31"/>
      <c r="EW212" s="31"/>
      <c r="EX212" s="31"/>
      <c r="EY212" s="31"/>
      <c r="EZ212" s="31"/>
      <c r="FA212" s="31"/>
      <c r="FB212" s="31"/>
      <c r="FC212" s="31"/>
      <c r="FD212" s="31"/>
      <c r="FE212" s="31"/>
      <c r="FF212" s="31"/>
      <c r="FG212" s="31"/>
      <c r="FH212" s="31"/>
      <c r="FI212" s="31"/>
      <c r="FJ212" s="31"/>
      <c r="FK212" s="31"/>
      <c r="FL212" s="31"/>
      <c r="FM212" s="31"/>
      <c r="FN212" s="31"/>
      <c r="FO212" s="31"/>
      <c r="FP212" s="31"/>
      <c r="FQ212" s="31"/>
      <c r="FR212" s="31"/>
      <c r="FS212" s="31"/>
      <c r="FT212" s="31"/>
      <c r="FU212" s="31"/>
      <c r="FV212" s="31"/>
      <c r="FW212" s="31"/>
      <c r="FX212" s="31"/>
      <c r="FY212" s="31"/>
      <c r="FZ212" s="31"/>
      <c r="GA212" s="31"/>
      <c r="GB212" s="31"/>
      <c r="GC212" s="31"/>
      <c r="GD212" s="31"/>
      <c r="GE212" s="31"/>
      <c r="GF212" s="31"/>
      <c r="GG212" s="31"/>
      <c r="GH212" s="31"/>
      <c r="GI212" s="31"/>
      <c r="GJ212" s="31"/>
      <c r="GK212" s="31"/>
      <c r="GL212" s="31"/>
      <c r="GM212" s="31"/>
      <c r="GN212" s="31"/>
      <c r="GO212" s="31"/>
      <c r="GP212" s="31"/>
      <c r="GQ212" s="31"/>
      <c r="GR212" s="31"/>
      <c r="GS212" s="31"/>
      <c r="GT212" s="31"/>
      <c r="GU212" s="31"/>
      <c r="GV212" s="31"/>
      <c r="GW212" s="31"/>
      <c r="GX212" s="31"/>
      <c r="GY212" s="31"/>
      <c r="GZ212" s="31"/>
      <c r="HA212" s="31"/>
      <c r="HB212" s="31"/>
      <c r="HC212" s="31"/>
      <c r="HD212" s="31"/>
      <c r="HE212" s="31"/>
      <c r="HF212" s="31"/>
      <c r="HG212" s="31"/>
      <c r="HH212" s="31"/>
      <c r="HI212" s="31"/>
      <c r="HJ212" s="31"/>
      <c r="HK212" s="31"/>
      <c r="HL212" s="31"/>
      <c r="HM212" s="31"/>
      <c r="HN212" s="31"/>
      <c r="HO212" s="31"/>
      <c r="HP212" s="31"/>
      <c r="HQ212" s="31"/>
      <c r="HR212" s="31"/>
      <c r="HS212" s="31"/>
      <c r="HT212" s="31"/>
      <c r="HU212" s="31"/>
      <c r="HV212" s="31"/>
      <c r="HW212" s="31"/>
      <c r="HX212" s="31"/>
      <c r="HY212" s="31"/>
      <c r="HZ212" s="31"/>
    </row>
    <row r="213" spans="1:234" ht="14.25" customHeight="1" x14ac:dyDescent="0.35">
      <c r="A213" s="88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30"/>
      <c r="U213" s="27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  <c r="BS213" s="31"/>
      <c r="BT213" s="31"/>
      <c r="BU213" s="31"/>
      <c r="BV213" s="31"/>
      <c r="BW213" s="31"/>
      <c r="BX213" s="31"/>
      <c r="BY213" s="31"/>
      <c r="BZ213" s="31"/>
      <c r="CA213" s="31"/>
      <c r="CB213" s="31"/>
      <c r="CC213" s="31"/>
      <c r="CD213" s="31"/>
      <c r="CE213" s="31"/>
      <c r="CF213" s="31"/>
      <c r="CG213" s="31"/>
      <c r="CH213" s="31"/>
      <c r="CI213" s="31"/>
      <c r="CJ213" s="31"/>
      <c r="CK213" s="31"/>
      <c r="CL213" s="31"/>
      <c r="CM213" s="31"/>
      <c r="CN213" s="31"/>
      <c r="CO213" s="31"/>
      <c r="CP213" s="31"/>
      <c r="CQ213" s="31"/>
      <c r="CR213" s="31"/>
      <c r="CS213" s="31"/>
      <c r="CT213" s="31"/>
      <c r="CU213" s="31"/>
      <c r="CV213" s="31"/>
      <c r="CW213" s="31"/>
      <c r="CX213" s="31"/>
      <c r="CY213" s="31"/>
      <c r="CZ213" s="31"/>
      <c r="DA213" s="31"/>
      <c r="DB213" s="31"/>
      <c r="DC213" s="31"/>
      <c r="DD213" s="31"/>
      <c r="DE213" s="31"/>
      <c r="DF213" s="31"/>
      <c r="DG213" s="31"/>
      <c r="DH213" s="31"/>
      <c r="DI213" s="31"/>
      <c r="DJ213" s="31"/>
      <c r="DK213" s="31"/>
      <c r="DL213" s="31"/>
      <c r="DM213" s="31"/>
      <c r="DN213" s="31"/>
      <c r="DO213" s="31"/>
      <c r="DP213" s="31"/>
      <c r="DQ213" s="31"/>
      <c r="DR213" s="31"/>
      <c r="DS213" s="31"/>
      <c r="DT213" s="31"/>
      <c r="DU213" s="31"/>
      <c r="DV213" s="31"/>
      <c r="DW213" s="31"/>
      <c r="DX213" s="31"/>
      <c r="DY213" s="31"/>
      <c r="DZ213" s="31"/>
      <c r="EA213" s="31"/>
      <c r="EB213" s="31"/>
      <c r="EC213" s="31"/>
      <c r="ED213" s="31"/>
      <c r="EE213" s="31"/>
      <c r="EF213" s="31"/>
      <c r="EG213" s="31"/>
      <c r="EH213" s="31"/>
      <c r="EI213" s="31"/>
      <c r="EJ213" s="31"/>
      <c r="EK213" s="31"/>
      <c r="EL213" s="31"/>
      <c r="EM213" s="31"/>
      <c r="EN213" s="31"/>
      <c r="EO213" s="31"/>
      <c r="EP213" s="31"/>
      <c r="EQ213" s="31"/>
      <c r="ER213" s="31"/>
      <c r="ES213" s="31"/>
      <c r="ET213" s="31"/>
      <c r="EU213" s="31"/>
      <c r="EV213" s="31"/>
      <c r="EW213" s="31"/>
      <c r="EX213" s="31"/>
      <c r="EY213" s="31"/>
      <c r="EZ213" s="31"/>
      <c r="FA213" s="31"/>
      <c r="FB213" s="31"/>
      <c r="FC213" s="31"/>
      <c r="FD213" s="31"/>
      <c r="FE213" s="31"/>
      <c r="FF213" s="31"/>
      <c r="FG213" s="31"/>
      <c r="FH213" s="31"/>
      <c r="FI213" s="31"/>
      <c r="FJ213" s="31"/>
      <c r="FK213" s="31"/>
      <c r="FL213" s="31"/>
      <c r="FM213" s="31"/>
      <c r="FN213" s="31"/>
      <c r="FO213" s="31"/>
      <c r="FP213" s="31"/>
      <c r="FQ213" s="31"/>
      <c r="FR213" s="31"/>
      <c r="FS213" s="31"/>
      <c r="FT213" s="31"/>
      <c r="FU213" s="31"/>
      <c r="FV213" s="31"/>
      <c r="FW213" s="31"/>
      <c r="FX213" s="31"/>
      <c r="FY213" s="31"/>
      <c r="FZ213" s="31"/>
      <c r="GA213" s="31"/>
      <c r="GB213" s="31"/>
      <c r="GC213" s="31"/>
      <c r="GD213" s="31"/>
      <c r="GE213" s="31"/>
      <c r="GF213" s="31"/>
      <c r="GG213" s="31"/>
      <c r="GH213" s="31"/>
      <c r="GI213" s="31"/>
      <c r="GJ213" s="31"/>
      <c r="GK213" s="31"/>
      <c r="GL213" s="31"/>
      <c r="GM213" s="31"/>
      <c r="GN213" s="31"/>
      <c r="GO213" s="31"/>
      <c r="GP213" s="31"/>
      <c r="GQ213" s="31"/>
      <c r="GR213" s="31"/>
      <c r="GS213" s="31"/>
      <c r="GT213" s="31"/>
      <c r="GU213" s="31"/>
      <c r="GV213" s="31"/>
      <c r="GW213" s="31"/>
      <c r="GX213" s="31"/>
      <c r="GY213" s="31"/>
      <c r="GZ213" s="31"/>
      <c r="HA213" s="31"/>
      <c r="HB213" s="31"/>
      <c r="HC213" s="31"/>
      <c r="HD213" s="31"/>
      <c r="HE213" s="31"/>
      <c r="HF213" s="31"/>
      <c r="HG213" s="31"/>
      <c r="HH213" s="31"/>
      <c r="HI213" s="31"/>
      <c r="HJ213" s="31"/>
      <c r="HK213" s="31"/>
      <c r="HL213" s="31"/>
      <c r="HM213" s="31"/>
      <c r="HN213" s="31"/>
      <c r="HO213" s="31"/>
      <c r="HP213" s="31"/>
      <c r="HQ213" s="31"/>
      <c r="HR213" s="31"/>
      <c r="HS213" s="31"/>
      <c r="HT213" s="31"/>
      <c r="HU213" s="31"/>
      <c r="HV213" s="31"/>
      <c r="HW213" s="31"/>
      <c r="HX213" s="31"/>
      <c r="HY213" s="31"/>
      <c r="HZ213" s="31"/>
    </row>
    <row r="214" spans="1:234" ht="14.25" customHeight="1" x14ac:dyDescent="0.35">
      <c r="A214" s="88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30"/>
      <c r="U214" s="27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31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  <c r="BS214" s="31"/>
      <c r="BT214" s="31"/>
      <c r="BU214" s="31"/>
      <c r="BV214" s="31"/>
      <c r="BW214" s="31"/>
      <c r="BX214" s="31"/>
      <c r="BY214" s="31"/>
      <c r="BZ214" s="31"/>
      <c r="CA214" s="31"/>
      <c r="CB214" s="31"/>
      <c r="CC214" s="31"/>
      <c r="CD214" s="31"/>
      <c r="CE214" s="31"/>
      <c r="CF214" s="31"/>
      <c r="CG214" s="31"/>
      <c r="CH214" s="31"/>
      <c r="CI214" s="31"/>
      <c r="CJ214" s="31"/>
      <c r="CK214" s="31"/>
      <c r="CL214" s="31"/>
      <c r="CM214" s="31"/>
      <c r="CN214" s="31"/>
      <c r="CO214" s="31"/>
      <c r="CP214" s="31"/>
      <c r="CQ214" s="31"/>
      <c r="CR214" s="31"/>
      <c r="CS214" s="31"/>
      <c r="CT214" s="31"/>
      <c r="CU214" s="31"/>
      <c r="CV214" s="31"/>
      <c r="CW214" s="31"/>
      <c r="CX214" s="31"/>
      <c r="CY214" s="31"/>
      <c r="CZ214" s="31"/>
      <c r="DA214" s="31"/>
      <c r="DB214" s="31"/>
      <c r="DC214" s="31"/>
      <c r="DD214" s="31"/>
      <c r="DE214" s="31"/>
      <c r="DF214" s="31"/>
      <c r="DG214" s="31"/>
      <c r="DH214" s="31"/>
      <c r="DI214" s="31"/>
      <c r="DJ214" s="31"/>
      <c r="DK214" s="31"/>
      <c r="DL214" s="31"/>
      <c r="DM214" s="31"/>
      <c r="DN214" s="31"/>
      <c r="DO214" s="31"/>
      <c r="DP214" s="31"/>
      <c r="DQ214" s="31"/>
      <c r="DR214" s="31"/>
      <c r="DS214" s="31"/>
      <c r="DT214" s="31"/>
      <c r="DU214" s="31"/>
      <c r="DV214" s="31"/>
      <c r="DW214" s="31"/>
      <c r="DX214" s="31"/>
      <c r="DY214" s="31"/>
      <c r="DZ214" s="31"/>
      <c r="EA214" s="31"/>
      <c r="EB214" s="31"/>
      <c r="EC214" s="31"/>
      <c r="ED214" s="31"/>
      <c r="EE214" s="31"/>
      <c r="EF214" s="31"/>
      <c r="EG214" s="31"/>
      <c r="EH214" s="31"/>
      <c r="EI214" s="31"/>
      <c r="EJ214" s="31"/>
      <c r="EK214" s="31"/>
      <c r="EL214" s="31"/>
      <c r="EM214" s="31"/>
      <c r="EN214" s="31"/>
      <c r="EO214" s="31"/>
      <c r="EP214" s="31"/>
      <c r="EQ214" s="31"/>
      <c r="ER214" s="31"/>
      <c r="ES214" s="31"/>
      <c r="ET214" s="31"/>
      <c r="EU214" s="31"/>
      <c r="EV214" s="31"/>
      <c r="EW214" s="31"/>
      <c r="EX214" s="31"/>
      <c r="EY214" s="31"/>
      <c r="EZ214" s="31"/>
      <c r="FA214" s="31"/>
      <c r="FB214" s="31"/>
      <c r="FC214" s="31"/>
      <c r="FD214" s="31"/>
      <c r="FE214" s="31"/>
      <c r="FF214" s="31"/>
      <c r="FG214" s="31"/>
      <c r="FH214" s="31"/>
      <c r="FI214" s="31"/>
      <c r="FJ214" s="31"/>
      <c r="FK214" s="31"/>
      <c r="FL214" s="31"/>
      <c r="FM214" s="31"/>
      <c r="FN214" s="31"/>
      <c r="FO214" s="31"/>
      <c r="FP214" s="31"/>
      <c r="FQ214" s="31"/>
      <c r="FR214" s="31"/>
      <c r="FS214" s="31"/>
      <c r="FT214" s="31"/>
      <c r="FU214" s="31"/>
      <c r="FV214" s="31"/>
      <c r="FW214" s="31"/>
      <c r="FX214" s="31"/>
      <c r="FY214" s="31"/>
      <c r="FZ214" s="31"/>
      <c r="GA214" s="31"/>
      <c r="GB214" s="31"/>
      <c r="GC214" s="31"/>
      <c r="GD214" s="31"/>
      <c r="GE214" s="31"/>
      <c r="GF214" s="31"/>
      <c r="GG214" s="31"/>
      <c r="GH214" s="31"/>
      <c r="GI214" s="31"/>
      <c r="GJ214" s="31"/>
      <c r="GK214" s="31"/>
      <c r="GL214" s="31"/>
      <c r="GM214" s="31"/>
      <c r="GN214" s="31"/>
      <c r="GO214" s="31"/>
      <c r="GP214" s="31"/>
      <c r="GQ214" s="31"/>
      <c r="GR214" s="31"/>
      <c r="GS214" s="31"/>
      <c r="GT214" s="31"/>
      <c r="GU214" s="31"/>
      <c r="GV214" s="31"/>
      <c r="GW214" s="31"/>
      <c r="GX214" s="31"/>
      <c r="GY214" s="31"/>
      <c r="GZ214" s="31"/>
      <c r="HA214" s="31"/>
      <c r="HB214" s="31"/>
      <c r="HC214" s="31"/>
      <c r="HD214" s="31"/>
      <c r="HE214" s="31"/>
      <c r="HF214" s="31"/>
      <c r="HG214" s="31"/>
      <c r="HH214" s="31"/>
      <c r="HI214" s="31"/>
      <c r="HJ214" s="31"/>
      <c r="HK214" s="31"/>
      <c r="HL214" s="31"/>
      <c r="HM214" s="31"/>
      <c r="HN214" s="31"/>
      <c r="HO214" s="31"/>
      <c r="HP214" s="31"/>
      <c r="HQ214" s="31"/>
      <c r="HR214" s="31"/>
      <c r="HS214" s="31"/>
      <c r="HT214" s="31"/>
      <c r="HU214" s="31"/>
      <c r="HV214" s="31"/>
      <c r="HW214" s="31"/>
      <c r="HX214" s="31"/>
      <c r="HY214" s="31"/>
      <c r="HZ214" s="31"/>
    </row>
    <row r="215" spans="1:234" ht="14.25" customHeight="1" x14ac:dyDescent="0.35">
      <c r="A215" s="88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30"/>
      <c r="U215" s="27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  <c r="BG215" s="31"/>
      <c r="BH215" s="31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  <c r="BS215" s="31"/>
      <c r="BT215" s="31"/>
      <c r="BU215" s="31"/>
      <c r="BV215" s="31"/>
      <c r="BW215" s="31"/>
      <c r="BX215" s="31"/>
      <c r="BY215" s="31"/>
      <c r="BZ215" s="31"/>
      <c r="CA215" s="31"/>
      <c r="CB215" s="31"/>
      <c r="CC215" s="31"/>
      <c r="CD215" s="31"/>
      <c r="CE215" s="31"/>
      <c r="CF215" s="31"/>
      <c r="CG215" s="31"/>
      <c r="CH215" s="31"/>
      <c r="CI215" s="31"/>
      <c r="CJ215" s="31"/>
      <c r="CK215" s="31"/>
      <c r="CL215" s="31"/>
      <c r="CM215" s="31"/>
      <c r="CN215" s="31"/>
      <c r="CO215" s="31"/>
      <c r="CP215" s="31"/>
      <c r="CQ215" s="31"/>
      <c r="CR215" s="31"/>
      <c r="CS215" s="31"/>
      <c r="CT215" s="31"/>
      <c r="CU215" s="31"/>
      <c r="CV215" s="31"/>
      <c r="CW215" s="31"/>
      <c r="CX215" s="31"/>
      <c r="CY215" s="31"/>
      <c r="CZ215" s="31"/>
      <c r="DA215" s="31"/>
      <c r="DB215" s="31"/>
      <c r="DC215" s="31"/>
      <c r="DD215" s="31"/>
      <c r="DE215" s="31"/>
      <c r="DF215" s="31"/>
      <c r="DG215" s="31"/>
      <c r="DH215" s="31"/>
      <c r="DI215" s="31"/>
      <c r="DJ215" s="31"/>
      <c r="DK215" s="31"/>
      <c r="DL215" s="31"/>
      <c r="DM215" s="31"/>
      <c r="DN215" s="31"/>
      <c r="DO215" s="31"/>
      <c r="DP215" s="31"/>
      <c r="DQ215" s="31"/>
      <c r="DR215" s="31"/>
      <c r="DS215" s="31"/>
      <c r="DT215" s="31"/>
      <c r="DU215" s="31"/>
      <c r="DV215" s="31"/>
      <c r="DW215" s="31"/>
      <c r="DX215" s="31"/>
      <c r="DY215" s="31"/>
      <c r="DZ215" s="31"/>
      <c r="EA215" s="31"/>
      <c r="EB215" s="31"/>
      <c r="EC215" s="31"/>
      <c r="ED215" s="31"/>
      <c r="EE215" s="31"/>
      <c r="EF215" s="31"/>
      <c r="EG215" s="31"/>
      <c r="EH215" s="31"/>
      <c r="EI215" s="31"/>
      <c r="EJ215" s="31"/>
      <c r="EK215" s="31"/>
      <c r="EL215" s="31"/>
      <c r="EM215" s="31"/>
      <c r="EN215" s="31"/>
      <c r="EO215" s="31"/>
      <c r="EP215" s="31"/>
      <c r="EQ215" s="31"/>
      <c r="ER215" s="31"/>
      <c r="ES215" s="31"/>
      <c r="ET215" s="31"/>
      <c r="EU215" s="31"/>
      <c r="EV215" s="31"/>
      <c r="EW215" s="31"/>
      <c r="EX215" s="31"/>
      <c r="EY215" s="31"/>
      <c r="EZ215" s="31"/>
      <c r="FA215" s="31"/>
      <c r="FB215" s="31"/>
      <c r="FC215" s="31"/>
      <c r="FD215" s="31"/>
      <c r="FE215" s="31"/>
      <c r="FF215" s="31"/>
      <c r="FG215" s="31"/>
      <c r="FH215" s="31"/>
      <c r="FI215" s="31"/>
      <c r="FJ215" s="31"/>
      <c r="FK215" s="31"/>
      <c r="FL215" s="31"/>
      <c r="FM215" s="31"/>
      <c r="FN215" s="31"/>
      <c r="FO215" s="31"/>
      <c r="FP215" s="31"/>
      <c r="FQ215" s="31"/>
      <c r="FR215" s="31"/>
      <c r="FS215" s="31"/>
      <c r="FT215" s="31"/>
      <c r="FU215" s="31"/>
      <c r="FV215" s="31"/>
      <c r="FW215" s="31"/>
      <c r="FX215" s="31"/>
      <c r="FY215" s="31"/>
      <c r="FZ215" s="31"/>
      <c r="GA215" s="31"/>
      <c r="GB215" s="31"/>
      <c r="GC215" s="31"/>
      <c r="GD215" s="31"/>
      <c r="GE215" s="31"/>
      <c r="GF215" s="31"/>
      <c r="GG215" s="31"/>
      <c r="GH215" s="31"/>
      <c r="GI215" s="31"/>
      <c r="GJ215" s="31"/>
      <c r="GK215" s="31"/>
      <c r="GL215" s="31"/>
      <c r="GM215" s="31"/>
      <c r="GN215" s="31"/>
      <c r="GO215" s="31"/>
      <c r="GP215" s="31"/>
      <c r="GQ215" s="31"/>
      <c r="GR215" s="31"/>
      <c r="GS215" s="31"/>
      <c r="GT215" s="31"/>
      <c r="GU215" s="31"/>
      <c r="GV215" s="31"/>
      <c r="GW215" s="31"/>
      <c r="GX215" s="31"/>
      <c r="GY215" s="31"/>
      <c r="GZ215" s="31"/>
      <c r="HA215" s="31"/>
      <c r="HB215" s="31"/>
      <c r="HC215" s="31"/>
      <c r="HD215" s="31"/>
      <c r="HE215" s="31"/>
      <c r="HF215" s="31"/>
      <c r="HG215" s="31"/>
      <c r="HH215" s="31"/>
      <c r="HI215" s="31"/>
      <c r="HJ215" s="31"/>
      <c r="HK215" s="31"/>
      <c r="HL215" s="31"/>
      <c r="HM215" s="31"/>
      <c r="HN215" s="31"/>
      <c r="HO215" s="31"/>
      <c r="HP215" s="31"/>
      <c r="HQ215" s="31"/>
      <c r="HR215" s="31"/>
      <c r="HS215" s="31"/>
      <c r="HT215" s="31"/>
      <c r="HU215" s="31"/>
      <c r="HV215" s="31"/>
      <c r="HW215" s="31"/>
      <c r="HX215" s="31"/>
      <c r="HY215" s="31"/>
      <c r="HZ215" s="31"/>
    </row>
    <row r="216" spans="1:234" ht="14.25" customHeight="1" x14ac:dyDescent="0.35">
      <c r="A216" s="88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30"/>
      <c r="U216" s="27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31"/>
      <c r="BH216" s="31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  <c r="BS216" s="31"/>
      <c r="BT216" s="31"/>
      <c r="BU216" s="31"/>
      <c r="BV216" s="31"/>
      <c r="BW216" s="31"/>
      <c r="BX216" s="31"/>
      <c r="BY216" s="31"/>
      <c r="BZ216" s="31"/>
      <c r="CA216" s="31"/>
      <c r="CB216" s="31"/>
      <c r="CC216" s="31"/>
      <c r="CD216" s="31"/>
      <c r="CE216" s="31"/>
      <c r="CF216" s="31"/>
      <c r="CG216" s="31"/>
      <c r="CH216" s="31"/>
      <c r="CI216" s="31"/>
      <c r="CJ216" s="31"/>
      <c r="CK216" s="31"/>
      <c r="CL216" s="31"/>
      <c r="CM216" s="31"/>
      <c r="CN216" s="31"/>
      <c r="CO216" s="31"/>
      <c r="CP216" s="31"/>
      <c r="CQ216" s="31"/>
      <c r="CR216" s="31"/>
      <c r="CS216" s="31"/>
      <c r="CT216" s="31"/>
      <c r="CU216" s="31"/>
      <c r="CV216" s="31"/>
      <c r="CW216" s="31"/>
      <c r="CX216" s="31"/>
      <c r="CY216" s="31"/>
      <c r="CZ216" s="31"/>
      <c r="DA216" s="31"/>
      <c r="DB216" s="31"/>
      <c r="DC216" s="31"/>
      <c r="DD216" s="31"/>
      <c r="DE216" s="31"/>
      <c r="DF216" s="31"/>
      <c r="DG216" s="31"/>
      <c r="DH216" s="31"/>
      <c r="DI216" s="31"/>
      <c r="DJ216" s="31"/>
      <c r="DK216" s="31"/>
      <c r="DL216" s="31"/>
      <c r="DM216" s="31"/>
      <c r="DN216" s="31"/>
      <c r="DO216" s="31"/>
      <c r="DP216" s="31"/>
      <c r="DQ216" s="31"/>
      <c r="DR216" s="31"/>
      <c r="DS216" s="31"/>
      <c r="DT216" s="31"/>
      <c r="DU216" s="31"/>
      <c r="DV216" s="31"/>
      <c r="DW216" s="31"/>
      <c r="DX216" s="31"/>
      <c r="DY216" s="31"/>
      <c r="DZ216" s="31"/>
      <c r="EA216" s="31"/>
      <c r="EB216" s="31"/>
      <c r="EC216" s="31"/>
      <c r="ED216" s="31"/>
      <c r="EE216" s="31"/>
      <c r="EF216" s="31"/>
      <c r="EG216" s="31"/>
      <c r="EH216" s="31"/>
      <c r="EI216" s="31"/>
      <c r="EJ216" s="31"/>
      <c r="EK216" s="31"/>
      <c r="EL216" s="31"/>
      <c r="EM216" s="31"/>
      <c r="EN216" s="31"/>
      <c r="EO216" s="31"/>
      <c r="EP216" s="31"/>
      <c r="EQ216" s="31"/>
      <c r="ER216" s="31"/>
      <c r="ES216" s="31"/>
      <c r="ET216" s="31"/>
      <c r="EU216" s="31"/>
      <c r="EV216" s="31"/>
      <c r="EW216" s="31"/>
      <c r="EX216" s="31"/>
      <c r="EY216" s="31"/>
      <c r="EZ216" s="31"/>
      <c r="FA216" s="31"/>
      <c r="FB216" s="31"/>
      <c r="FC216" s="31"/>
      <c r="FD216" s="31"/>
      <c r="FE216" s="31"/>
      <c r="FF216" s="31"/>
      <c r="FG216" s="31"/>
      <c r="FH216" s="31"/>
      <c r="FI216" s="31"/>
      <c r="FJ216" s="31"/>
      <c r="FK216" s="31"/>
      <c r="FL216" s="31"/>
      <c r="FM216" s="31"/>
      <c r="FN216" s="31"/>
      <c r="FO216" s="31"/>
      <c r="FP216" s="31"/>
      <c r="FQ216" s="31"/>
      <c r="FR216" s="31"/>
      <c r="FS216" s="31"/>
      <c r="FT216" s="31"/>
      <c r="FU216" s="31"/>
      <c r="FV216" s="31"/>
      <c r="FW216" s="31"/>
      <c r="FX216" s="31"/>
      <c r="FY216" s="31"/>
      <c r="FZ216" s="31"/>
      <c r="GA216" s="31"/>
      <c r="GB216" s="31"/>
      <c r="GC216" s="31"/>
      <c r="GD216" s="31"/>
      <c r="GE216" s="31"/>
      <c r="GF216" s="31"/>
      <c r="GG216" s="31"/>
      <c r="GH216" s="31"/>
      <c r="GI216" s="31"/>
      <c r="GJ216" s="31"/>
      <c r="GK216" s="31"/>
      <c r="GL216" s="31"/>
      <c r="GM216" s="31"/>
      <c r="GN216" s="31"/>
      <c r="GO216" s="31"/>
      <c r="GP216" s="31"/>
      <c r="GQ216" s="31"/>
      <c r="GR216" s="31"/>
      <c r="GS216" s="31"/>
      <c r="GT216" s="31"/>
      <c r="GU216" s="31"/>
      <c r="GV216" s="31"/>
      <c r="GW216" s="31"/>
      <c r="GX216" s="31"/>
      <c r="GY216" s="31"/>
      <c r="GZ216" s="31"/>
      <c r="HA216" s="31"/>
      <c r="HB216" s="31"/>
      <c r="HC216" s="31"/>
      <c r="HD216" s="31"/>
      <c r="HE216" s="31"/>
      <c r="HF216" s="31"/>
      <c r="HG216" s="31"/>
      <c r="HH216" s="31"/>
      <c r="HI216" s="31"/>
      <c r="HJ216" s="31"/>
      <c r="HK216" s="31"/>
      <c r="HL216" s="31"/>
      <c r="HM216" s="31"/>
      <c r="HN216" s="31"/>
      <c r="HO216" s="31"/>
      <c r="HP216" s="31"/>
      <c r="HQ216" s="31"/>
      <c r="HR216" s="31"/>
      <c r="HS216" s="31"/>
      <c r="HT216" s="31"/>
      <c r="HU216" s="31"/>
      <c r="HV216" s="31"/>
      <c r="HW216" s="31"/>
      <c r="HX216" s="31"/>
      <c r="HY216" s="31"/>
      <c r="HZ216" s="31"/>
    </row>
    <row r="217" spans="1:234" ht="14.25" customHeight="1" x14ac:dyDescent="0.35">
      <c r="A217" s="88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30"/>
      <c r="U217" s="27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  <c r="BG217" s="31"/>
      <c r="BH217" s="31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  <c r="BS217" s="31"/>
      <c r="BT217" s="31"/>
      <c r="BU217" s="31"/>
      <c r="BV217" s="31"/>
      <c r="BW217" s="31"/>
      <c r="BX217" s="31"/>
      <c r="BY217" s="31"/>
      <c r="BZ217" s="31"/>
      <c r="CA217" s="31"/>
      <c r="CB217" s="31"/>
      <c r="CC217" s="31"/>
      <c r="CD217" s="31"/>
      <c r="CE217" s="31"/>
      <c r="CF217" s="31"/>
      <c r="CG217" s="31"/>
      <c r="CH217" s="31"/>
      <c r="CI217" s="31"/>
      <c r="CJ217" s="31"/>
      <c r="CK217" s="31"/>
      <c r="CL217" s="31"/>
      <c r="CM217" s="31"/>
      <c r="CN217" s="31"/>
      <c r="CO217" s="31"/>
      <c r="CP217" s="31"/>
      <c r="CQ217" s="31"/>
      <c r="CR217" s="31"/>
      <c r="CS217" s="31"/>
      <c r="CT217" s="31"/>
      <c r="CU217" s="31"/>
      <c r="CV217" s="31"/>
      <c r="CW217" s="31"/>
      <c r="CX217" s="31"/>
      <c r="CY217" s="31"/>
      <c r="CZ217" s="31"/>
      <c r="DA217" s="31"/>
      <c r="DB217" s="31"/>
      <c r="DC217" s="31"/>
      <c r="DD217" s="31"/>
      <c r="DE217" s="31"/>
      <c r="DF217" s="31"/>
      <c r="DG217" s="31"/>
      <c r="DH217" s="31"/>
      <c r="DI217" s="31"/>
      <c r="DJ217" s="31"/>
      <c r="DK217" s="31"/>
      <c r="DL217" s="31"/>
      <c r="DM217" s="31"/>
      <c r="DN217" s="31"/>
      <c r="DO217" s="31"/>
      <c r="DP217" s="31"/>
      <c r="DQ217" s="31"/>
      <c r="DR217" s="31"/>
      <c r="DS217" s="31"/>
      <c r="DT217" s="31"/>
      <c r="DU217" s="31"/>
      <c r="DV217" s="31"/>
      <c r="DW217" s="31"/>
      <c r="DX217" s="31"/>
      <c r="DY217" s="31"/>
      <c r="DZ217" s="31"/>
      <c r="EA217" s="31"/>
      <c r="EB217" s="31"/>
      <c r="EC217" s="31"/>
      <c r="ED217" s="31"/>
      <c r="EE217" s="31"/>
      <c r="EF217" s="31"/>
      <c r="EG217" s="31"/>
      <c r="EH217" s="31"/>
      <c r="EI217" s="31"/>
      <c r="EJ217" s="31"/>
      <c r="EK217" s="31"/>
      <c r="EL217" s="31"/>
      <c r="EM217" s="31"/>
      <c r="EN217" s="31"/>
      <c r="EO217" s="31"/>
      <c r="EP217" s="31"/>
      <c r="EQ217" s="31"/>
      <c r="ER217" s="31"/>
      <c r="ES217" s="31"/>
      <c r="ET217" s="31"/>
      <c r="EU217" s="31"/>
      <c r="EV217" s="31"/>
      <c r="EW217" s="31"/>
      <c r="EX217" s="31"/>
      <c r="EY217" s="31"/>
      <c r="EZ217" s="31"/>
      <c r="FA217" s="31"/>
      <c r="FB217" s="31"/>
      <c r="FC217" s="31"/>
      <c r="FD217" s="31"/>
      <c r="FE217" s="31"/>
      <c r="FF217" s="31"/>
      <c r="FG217" s="31"/>
      <c r="FH217" s="31"/>
      <c r="FI217" s="31"/>
      <c r="FJ217" s="31"/>
      <c r="FK217" s="31"/>
      <c r="FL217" s="31"/>
      <c r="FM217" s="31"/>
      <c r="FN217" s="31"/>
      <c r="FO217" s="31"/>
      <c r="FP217" s="31"/>
      <c r="FQ217" s="31"/>
      <c r="FR217" s="31"/>
      <c r="FS217" s="31"/>
      <c r="FT217" s="31"/>
      <c r="FU217" s="31"/>
      <c r="FV217" s="31"/>
      <c r="FW217" s="31"/>
      <c r="FX217" s="31"/>
      <c r="FY217" s="31"/>
      <c r="FZ217" s="31"/>
      <c r="GA217" s="31"/>
      <c r="GB217" s="31"/>
      <c r="GC217" s="31"/>
      <c r="GD217" s="31"/>
      <c r="GE217" s="31"/>
      <c r="GF217" s="31"/>
      <c r="GG217" s="31"/>
      <c r="GH217" s="31"/>
      <c r="GI217" s="31"/>
      <c r="GJ217" s="31"/>
      <c r="GK217" s="31"/>
      <c r="GL217" s="31"/>
      <c r="GM217" s="31"/>
      <c r="GN217" s="31"/>
      <c r="GO217" s="31"/>
      <c r="GP217" s="31"/>
      <c r="GQ217" s="31"/>
      <c r="GR217" s="31"/>
      <c r="GS217" s="31"/>
      <c r="GT217" s="31"/>
      <c r="GU217" s="31"/>
      <c r="GV217" s="31"/>
      <c r="GW217" s="31"/>
      <c r="GX217" s="31"/>
      <c r="GY217" s="31"/>
      <c r="GZ217" s="31"/>
      <c r="HA217" s="31"/>
      <c r="HB217" s="31"/>
      <c r="HC217" s="31"/>
      <c r="HD217" s="31"/>
      <c r="HE217" s="31"/>
      <c r="HF217" s="31"/>
      <c r="HG217" s="31"/>
      <c r="HH217" s="31"/>
      <c r="HI217" s="31"/>
      <c r="HJ217" s="31"/>
      <c r="HK217" s="31"/>
      <c r="HL217" s="31"/>
      <c r="HM217" s="31"/>
      <c r="HN217" s="31"/>
      <c r="HO217" s="31"/>
      <c r="HP217" s="31"/>
      <c r="HQ217" s="31"/>
      <c r="HR217" s="31"/>
      <c r="HS217" s="31"/>
      <c r="HT217" s="31"/>
      <c r="HU217" s="31"/>
      <c r="HV217" s="31"/>
      <c r="HW217" s="31"/>
      <c r="HX217" s="31"/>
      <c r="HY217" s="31"/>
      <c r="HZ217" s="31"/>
    </row>
    <row r="218" spans="1:234" ht="14.25" customHeight="1" x14ac:dyDescent="0.35">
      <c r="A218" s="88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30"/>
      <c r="U218" s="27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  <c r="BG218" s="31"/>
      <c r="BH218" s="31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  <c r="BS218" s="31"/>
      <c r="BT218" s="31"/>
      <c r="BU218" s="31"/>
      <c r="BV218" s="31"/>
      <c r="BW218" s="31"/>
      <c r="BX218" s="31"/>
      <c r="BY218" s="31"/>
      <c r="BZ218" s="31"/>
      <c r="CA218" s="31"/>
      <c r="CB218" s="31"/>
      <c r="CC218" s="31"/>
      <c r="CD218" s="31"/>
      <c r="CE218" s="31"/>
      <c r="CF218" s="31"/>
      <c r="CG218" s="31"/>
      <c r="CH218" s="31"/>
      <c r="CI218" s="31"/>
      <c r="CJ218" s="31"/>
      <c r="CK218" s="31"/>
      <c r="CL218" s="31"/>
      <c r="CM218" s="31"/>
      <c r="CN218" s="31"/>
      <c r="CO218" s="31"/>
      <c r="CP218" s="31"/>
      <c r="CQ218" s="31"/>
      <c r="CR218" s="31"/>
      <c r="CS218" s="31"/>
      <c r="CT218" s="31"/>
      <c r="CU218" s="31"/>
      <c r="CV218" s="31"/>
      <c r="CW218" s="31"/>
      <c r="CX218" s="31"/>
      <c r="CY218" s="31"/>
      <c r="CZ218" s="31"/>
      <c r="DA218" s="31"/>
      <c r="DB218" s="31"/>
      <c r="DC218" s="31"/>
      <c r="DD218" s="31"/>
      <c r="DE218" s="31"/>
      <c r="DF218" s="31"/>
      <c r="DG218" s="31"/>
      <c r="DH218" s="31"/>
      <c r="DI218" s="31"/>
      <c r="DJ218" s="31"/>
      <c r="DK218" s="31"/>
      <c r="DL218" s="31"/>
      <c r="DM218" s="31"/>
      <c r="DN218" s="31"/>
      <c r="DO218" s="31"/>
      <c r="DP218" s="31"/>
      <c r="DQ218" s="31"/>
      <c r="DR218" s="31"/>
      <c r="DS218" s="31"/>
      <c r="DT218" s="31"/>
      <c r="DU218" s="31"/>
      <c r="DV218" s="31"/>
      <c r="DW218" s="31"/>
      <c r="DX218" s="31"/>
      <c r="DY218" s="31"/>
      <c r="DZ218" s="31"/>
      <c r="EA218" s="31"/>
      <c r="EB218" s="31"/>
      <c r="EC218" s="31"/>
      <c r="ED218" s="31"/>
      <c r="EE218" s="31"/>
      <c r="EF218" s="31"/>
      <c r="EG218" s="31"/>
      <c r="EH218" s="31"/>
      <c r="EI218" s="31"/>
      <c r="EJ218" s="31"/>
      <c r="EK218" s="31"/>
      <c r="EL218" s="31"/>
      <c r="EM218" s="31"/>
      <c r="EN218" s="31"/>
      <c r="EO218" s="31"/>
      <c r="EP218" s="31"/>
      <c r="EQ218" s="31"/>
      <c r="ER218" s="31"/>
      <c r="ES218" s="31"/>
      <c r="ET218" s="31"/>
      <c r="EU218" s="31"/>
      <c r="EV218" s="31"/>
      <c r="EW218" s="31"/>
      <c r="EX218" s="31"/>
      <c r="EY218" s="31"/>
      <c r="EZ218" s="31"/>
      <c r="FA218" s="31"/>
      <c r="FB218" s="31"/>
      <c r="FC218" s="31"/>
      <c r="FD218" s="31"/>
      <c r="FE218" s="31"/>
      <c r="FF218" s="31"/>
      <c r="FG218" s="31"/>
      <c r="FH218" s="31"/>
      <c r="FI218" s="31"/>
      <c r="FJ218" s="31"/>
      <c r="FK218" s="31"/>
      <c r="FL218" s="31"/>
      <c r="FM218" s="31"/>
      <c r="FN218" s="31"/>
      <c r="FO218" s="31"/>
      <c r="FP218" s="31"/>
      <c r="FQ218" s="31"/>
      <c r="FR218" s="31"/>
      <c r="FS218" s="31"/>
      <c r="FT218" s="31"/>
      <c r="FU218" s="31"/>
      <c r="FV218" s="31"/>
      <c r="FW218" s="31"/>
      <c r="FX218" s="31"/>
      <c r="FY218" s="31"/>
      <c r="FZ218" s="31"/>
      <c r="GA218" s="31"/>
      <c r="GB218" s="31"/>
      <c r="GC218" s="31"/>
      <c r="GD218" s="31"/>
      <c r="GE218" s="31"/>
      <c r="GF218" s="31"/>
      <c r="GG218" s="31"/>
      <c r="GH218" s="31"/>
      <c r="GI218" s="31"/>
      <c r="GJ218" s="31"/>
      <c r="GK218" s="31"/>
      <c r="GL218" s="31"/>
      <c r="GM218" s="31"/>
      <c r="GN218" s="31"/>
      <c r="GO218" s="31"/>
      <c r="GP218" s="31"/>
      <c r="GQ218" s="31"/>
      <c r="GR218" s="31"/>
      <c r="GS218" s="31"/>
      <c r="GT218" s="31"/>
      <c r="GU218" s="31"/>
      <c r="GV218" s="31"/>
      <c r="GW218" s="31"/>
      <c r="GX218" s="31"/>
      <c r="GY218" s="31"/>
      <c r="GZ218" s="31"/>
      <c r="HA218" s="31"/>
      <c r="HB218" s="31"/>
      <c r="HC218" s="31"/>
      <c r="HD218" s="31"/>
      <c r="HE218" s="31"/>
      <c r="HF218" s="31"/>
      <c r="HG218" s="31"/>
      <c r="HH218" s="31"/>
      <c r="HI218" s="31"/>
      <c r="HJ218" s="31"/>
      <c r="HK218" s="31"/>
      <c r="HL218" s="31"/>
      <c r="HM218" s="31"/>
      <c r="HN218" s="31"/>
      <c r="HO218" s="31"/>
      <c r="HP218" s="31"/>
      <c r="HQ218" s="31"/>
      <c r="HR218" s="31"/>
      <c r="HS218" s="31"/>
      <c r="HT218" s="31"/>
      <c r="HU218" s="31"/>
      <c r="HV218" s="31"/>
      <c r="HW218" s="31"/>
      <c r="HX218" s="31"/>
      <c r="HY218" s="31"/>
      <c r="HZ218" s="31"/>
    </row>
    <row r="219" spans="1:234" ht="14.25" customHeight="1" x14ac:dyDescent="0.35">
      <c r="A219" s="88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30"/>
      <c r="U219" s="27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  <c r="BD219" s="31"/>
      <c r="BE219" s="31"/>
      <c r="BF219" s="31"/>
      <c r="BG219" s="31"/>
      <c r="BH219" s="31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  <c r="BS219" s="31"/>
      <c r="BT219" s="31"/>
      <c r="BU219" s="31"/>
      <c r="BV219" s="31"/>
      <c r="BW219" s="31"/>
      <c r="BX219" s="31"/>
      <c r="BY219" s="31"/>
      <c r="BZ219" s="31"/>
      <c r="CA219" s="31"/>
      <c r="CB219" s="31"/>
      <c r="CC219" s="31"/>
      <c r="CD219" s="31"/>
      <c r="CE219" s="31"/>
      <c r="CF219" s="31"/>
      <c r="CG219" s="31"/>
      <c r="CH219" s="31"/>
      <c r="CI219" s="31"/>
      <c r="CJ219" s="31"/>
      <c r="CK219" s="31"/>
      <c r="CL219" s="31"/>
      <c r="CM219" s="31"/>
      <c r="CN219" s="31"/>
      <c r="CO219" s="31"/>
      <c r="CP219" s="31"/>
      <c r="CQ219" s="31"/>
      <c r="CR219" s="31"/>
      <c r="CS219" s="31"/>
      <c r="CT219" s="31"/>
      <c r="CU219" s="31"/>
      <c r="CV219" s="31"/>
      <c r="CW219" s="31"/>
      <c r="CX219" s="31"/>
      <c r="CY219" s="31"/>
      <c r="CZ219" s="31"/>
      <c r="DA219" s="31"/>
      <c r="DB219" s="31"/>
      <c r="DC219" s="31"/>
      <c r="DD219" s="31"/>
      <c r="DE219" s="31"/>
      <c r="DF219" s="31"/>
      <c r="DG219" s="31"/>
      <c r="DH219" s="31"/>
      <c r="DI219" s="31"/>
      <c r="DJ219" s="31"/>
      <c r="DK219" s="31"/>
      <c r="DL219" s="31"/>
      <c r="DM219" s="31"/>
      <c r="DN219" s="31"/>
      <c r="DO219" s="31"/>
      <c r="DP219" s="31"/>
      <c r="DQ219" s="31"/>
      <c r="DR219" s="31"/>
      <c r="DS219" s="31"/>
      <c r="DT219" s="31"/>
      <c r="DU219" s="31"/>
      <c r="DV219" s="31"/>
      <c r="DW219" s="31"/>
      <c r="DX219" s="31"/>
      <c r="DY219" s="31"/>
      <c r="DZ219" s="31"/>
      <c r="EA219" s="31"/>
      <c r="EB219" s="31"/>
      <c r="EC219" s="31"/>
      <c r="ED219" s="31"/>
      <c r="EE219" s="31"/>
      <c r="EF219" s="31"/>
      <c r="EG219" s="31"/>
      <c r="EH219" s="31"/>
      <c r="EI219" s="31"/>
      <c r="EJ219" s="31"/>
      <c r="EK219" s="31"/>
      <c r="EL219" s="31"/>
      <c r="EM219" s="31"/>
      <c r="EN219" s="31"/>
      <c r="EO219" s="31"/>
      <c r="EP219" s="31"/>
      <c r="EQ219" s="31"/>
      <c r="ER219" s="31"/>
      <c r="ES219" s="31"/>
      <c r="ET219" s="31"/>
      <c r="EU219" s="31"/>
      <c r="EV219" s="31"/>
      <c r="EW219" s="31"/>
      <c r="EX219" s="31"/>
      <c r="EY219" s="31"/>
      <c r="EZ219" s="31"/>
      <c r="FA219" s="31"/>
      <c r="FB219" s="31"/>
      <c r="FC219" s="31"/>
      <c r="FD219" s="31"/>
      <c r="FE219" s="31"/>
      <c r="FF219" s="31"/>
      <c r="FG219" s="31"/>
      <c r="FH219" s="31"/>
      <c r="FI219" s="31"/>
      <c r="FJ219" s="31"/>
      <c r="FK219" s="31"/>
      <c r="FL219" s="31"/>
      <c r="FM219" s="31"/>
      <c r="FN219" s="31"/>
      <c r="FO219" s="31"/>
      <c r="FP219" s="31"/>
      <c r="FQ219" s="31"/>
      <c r="FR219" s="31"/>
      <c r="FS219" s="31"/>
      <c r="FT219" s="31"/>
      <c r="FU219" s="31"/>
      <c r="FV219" s="31"/>
      <c r="FW219" s="31"/>
      <c r="FX219" s="31"/>
      <c r="FY219" s="31"/>
      <c r="FZ219" s="31"/>
      <c r="GA219" s="31"/>
      <c r="GB219" s="31"/>
      <c r="GC219" s="31"/>
      <c r="GD219" s="31"/>
      <c r="GE219" s="31"/>
      <c r="GF219" s="31"/>
      <c r="GG219" s="31"/>
      <c r="GH219" s="31"/>
      <c r="GI219" s="31"/>
      <c r="GJ219" s="31"/>
      <c r="GK219" s="31"/>
      <c r="GL219" s="31"/>
      <c r="GM219" s="31"/>
      <c r="GN219" s="31"/>
      <c r="GO219" s="31"/>
      <c r="GP219" s="31"/>
      <c r="GQ219" s="31"/>
      <c r="GR219" s="31"/>
      <c r="GS219" s="31"/>
      <c r="GT219" s="31"/>
      <c r="GU219" s="31"/>
      <c r="GV219" s="31"/>
      <c r="GW219" s="31"/>
      <c r="GX219" s="31"/>
      <c r="GY219" s="31"/>
      <c r="GZ219" s="31"/>
      <c r="HA219" s="31"/>
      <c r="HB219" s="31"/>
      <c r="HC219" s="31"/>
      <c r="HD219" s="31"/>
      <c r="HE219" s="31"/>
      <c r="HF219" s="31"/>
      <c r="HG219" s="31"/>
      <c r="HH219" s="31"/>
      <c r="HI219" s="31"/>
      <c r="HJ219" s="31"/>
      <c r="HK219" s="31"/>
      <c r="HL219" s="31"/>
      <c r="HM219" s="31"/>
      <c r="HN219" s="31"/>
      <c r="HO219" s="31"/>
      <c r="HP219" s="31"/>
      <c r="HQ219" s="31"/>
      <c r="HR219" s="31"/>
      <c r="HS219" s="31"/>
      <c r="HT219" s="31"/>
      <c r="HU219" s="31"/>
      <c r="HV219" s="31"/>
      <c r="HW219" s="31"/>
      <c r="HX219" s="31"/>
      <c r="HY219" s="31"/>
      <c r="HZ219" s="31"/>
    </row>
    <row r="220" spans="1:234" ht="14.25" customHeight="1" x14ac:dyDescent="0.35">
      <c r="A220" s="88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30"/>
      <c r="U220" s="27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  <c r="BD220" s="31"/>
      <c r="BE220" s="31"/>
      <c r="BF220" s="31"/>
      <c r="BG220" s="31"/>
      <c r="BH220" s="31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  <c r="BS220" s="31"/>
      <c r="BT220" s="31"/>
      <c r="BU220" s="31"/>
      <c r="BV220" s="31"/>
      <c r="BW220" s="31"/>
      <c r="BX220" s="31"/>
      <c r="BY220" s="31"/>
      <c r="BZ220" s="31"/>
      <c r="CA220" s="31"/>
      <c r="CB220" s="31"/>
      <c r="CC220" s="31"/>
      <c r="CD220" s="31"/>
      <c r="CE220" s="31"/>
      <c r="CF220" s="31"/>
      <c r="CG220" s="31"/>
      <c r="CH220" s="31"/>
      <c r="CI220" s="31"/>
      <c r="CJ220" s="31"/>
      <c r="CK220" s="31"/>
      <c r="CL220" s="31"/>
      <c r="CM220" s="31"/>
      <c r="CN220" s="31"/>
      <c r="CO220" s="31"/>
      <c r="CP220" s="31"/>
      <c r="CQ220" s="31"/>
      <c r="CR220" s="31"/>
      <c r="CS220" s="31"/>
      <c r="CT220" s="31"/>
      <c r="CU220" s="31"/>
      <c r="CV220" s="31"/>
      <c r="CW220" s="31"/>
      <c r="CX220" s="31"/>
      <c r="CY220" s="31"/>
      <c r="CZ220" s="31"/>
      <c r="DA220" s="31"/>
      <c r="DB220" s="31"/>
      <c r="DC220" s="31"/>
      <c r="DD220" s="31"/>
      <c r="DE220" s="31"/>
      <c r="DF220" s="31"/>
      <c r="DG220" s="31"/>
      <c r="DH220" s="31"/>
      <c r="DI220" s="31"/>
      <c r="DJ220" s="31"/>
      <c r="DK220" s="31"/>
      <c r="DL220" s="31"/>
      <c r="DM220" s="31"/>
      <c r="DN220" s="31"/>
      <c r="DO220" s="31"/>
      <c r="DP220" s="31"/>
      <c r="DQ220" s="31"/>
      <c r="DR220" s="31"/>
      <c r="DS220" s="31"/>
      <c r="DT220" s="31"/>
      <c r="DU220" s="31"/>
      <c r="DV220" s="31"/>
      <c r="DW220" s="31"/>
      <c r="DX220" s="31"/>
      <c r="DY220" s="31"/>
      <c r="DZ220" s="31"/>
      <c r="EA220" s="31"/>
      <c r="EB220" s="31"/>
      <c r="EC220" s="31"/>
      <c r="ED220" s="31"/>
      <c r="EE220" s="31"/>
      <c r="EF220" s="31"/>
      <c r="EG220" s="31"/>
      <c r="EH220" s="31"/>
      <c r="EI220" s="31"/>
      <c r="EJ220" s="31"/>
      <c r="EK220" s="31"/>
      <c r="EL220" s="31"/>
      <c r="EM220" s="31"/>
      <c r="EN220" s="31"/>
      <c r="EO220" s="31"/>
      <c r="EP220" s="31"/>
      <c r="EQ220" s="31"/>
      <c r="ER220" s="31"/>
      <c r="ES220" s="31"/>
      <c r="ET220" s="31"/>
      <c r="EU220" s="31"/>
      <c r="EV220" s="31"/>
      <c r="EW220" s="31"/>
      <c r="EX220" s="31"/>
      <c r="EY220" s="31"/>
      <c r="EZ220" s="31"/>
      <c r="FA220" s="31"/>
      <c r="FB220" s="31"/>
      <c r="FC220" s="31"/>
      <c r="FD220" s="31"/>
      <c r="FE220" s="31"/>
      <c r="FF220" s="31"/>
      <c r="FG220" s="31"/>
      <c r="FH220" s="31"/>
      <c r="FI220" s="31"/>
      <c r="FJ220" s="31"/>
      <c r="FK220" s="31"/>
      <c r="FL220" s="31"/>
      <c r="FM220" s="31"/>
      <c r="FN220" s="31"/>
      <c r="FO220" s="31"/>
      <c r="FP220" s="31"/>
      <c r="FQ220" s="31"/>
      <c r="FR220" s="31"/>
      <c r="FS220" s="31"/>
      <c r="FT220" s="31"/>
      <c r="FU220" s="31"/>
      <c r="FV220" s="31"/>
      <c r="FW220" s="31"/>
      <c r="FX220" s="31"/>
      <c r="FY220" s="31"/>
      <c r="FZ220" s="31"/>
      <c r="GA220" s="31"/>
      <c r="GB220" s="31"/>
      <c r="GC220" s="31"/>
      <c r="GD220" s="31"/>
      <c r="GE220" s="31"/>
      <c r="GF220" s="31"/>
      <c r="GG220" s="31"/>
      <c r="GH220" s="31"/>
      <c r="GI220" s="31"/>
      <c r="GJ220" s="31"/>
      <c r="GK220" s="31"/>
      <c r="GL220" s="31"/>
      <c r="GM220" s="31"/>
      <c r="GN220" s="31"/>
      <c r="GO220" s="31"/>
      <c r="GP220" s="31"/>
      <c r="GQ220" s="31"/>
      <c r="GR220" s="31"/>
      <c r="GS220" s="31"/>
      <c r="GT220" s="31"/>
      <c r="GU220" s="31"/>
      <c r="GV220" s="31"/>
      <c r="GW220" s="31"/>
      <c r="GX220" s="31"/>
      <c r="GY220" s="31"/>
      <c r="GZ220" s="31"/>
      <c r="HA220" s="31"/>
      <c r="HB220" s="31"/>
      <c r="HC220" s="31"/>
      <c r="HD220" s="31"/>
      <c r="HE220" s="31"/>
      <c r="HF220" s="31"/>
      <c r="HG220" s="31"/>
      <c r="HH220" s="31"/>
      <c r="HI220" s="31"/>
      <c r="HJ220" s="31"/>
      <c r="HK220" s="31"/>
      <c r="HL220" s="31"/>
      <c r="HM220" s="31"/>
      <c r="HN220" s="31"/>
      <c r="HO220" s="31"/>
      <c r="HP220" s="31"/>
      <c r="HQ220" s="31"/>
      <c r="HR220" s="31"/>
      <c r="HS220" s="31"/>
      <c r="HT220" s="31"/>
      <c r="HU220" s="31"/>
      <c r="HV220" s="31"/>
      <c r="HW220" s="31"/>
      <c r="HX220" s="31"/>
      <c r="HY220" s="31"/>
      <c r="HZ220" s="31"/>
    </row>
    <row r="221" spans="1:234" ht="14.25" customHeight="1" x14ac:dyDescent="0.35">
      <c r="A221" s="88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30"/>
      <c r="U221" s="27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  <c r="BD221" s="31"/>
      <c r="BE221" s="31"/>
      <c r="BF221" s="31"/>
      <c r="BG221" s="31"/>
      <c r="BH221" s="31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  <c r="BS221" s="31"/>
      <c r="BT221" s="31"/>
      <c r="BU221" s="31"/>
      <c r="BV221" s="31"/>
      <c r="BW221" s="31"/>
      <c r="BX221" s="31"/>
      <c r="BY221" s="31"/>
      <c r="BZ221" s="31"/>
      <c r="CA221" s="31"/>
      <c r="CB221" s="31"/>
      <c r="CC221" s="31"/>
      <c r="CD221" s="31"/>
      <c r="CE221" s="31"/>
      <c r="CF221" s="31"/>
      <c r="CG221" s="31"/>
      <c r="CH221" s="31"/>
      <c r="CI221" s="31"/>
      <c r="CJ221" s="31"/>
      <c r="CK221" s="31"/>
      <c r="CL221" s="31"/>
      <c r="CM221" s="31"/>
      <c r="CN221" s="31"/>
      <c r="CO221" s="31"/>
      <c r="CP221" s="31"/>
      <c r="CQ221" s="31"/>
      <c r="CR221" s="31"/>
      <c r="CS221" s="31"/>
      <c r="CT221" s="31"/>
      <c r="CU221" s="31"/>
      <c r="CV221" s="31"/>
      <c r="CW221" s="31"/>
      <c r="CX221" s="31"/>
      <c r="CY221" s="31"/>
      <c r="CZ221" s="31"/>
      <c r="DA221" s="31"/>
      <c r="DB221" s="31"/>
      <c r="DC221" s="31"/>
      <c r="DD221" s="31"/>
      <c r="DE221" s="31"/>
      <c r="DF221" s="31"/>
      <c r="DG221" s="31"/>
      <c r="DH221" s="31"/>
      <c r="DI221" s="31"/>
      <c r="DJ221" s="31"/>
      <c r="DK221" s="31"/>
      <c r="DL221" s="31"/>
      <c r="DM221" s="31"/>
      <c r="DN221" s="31"/>
      <c r="DO221" s="31"/>
      <c r="DP221" s="31"/>
      <c r="DQ221" s="31"/>
      <c r="DR221" s="31"/>
      <c r="DS221" s="31"/>
      <c r="DT221" s="31"/>
      <c r="DU221" s="31"/>
      <c r="DV221" s="31"/>
      <c r="DW221" s="31"/>
      <c r="DX221" s="31"/>
      <c r="DY221" s="31"/>
      <c r="DZ221" s="31"/>
      <c r="EA221" s="31"/>
      <c r="EB221" s="31"/>
      <c r="EC221" s="31"/>
      <c r="ED221" s="31"/>
      <c r="EE221" s="31"/>
      <c r="EF221" s="31"/>
      <c r="EG221" s="31"/>
      <c r="EH221" s="31"/>
      <c r="EI221" s="31"/>
      <c r="EJ221" s="31"/>
      <c r="EK221" s="31"/>
      <c r="EL221" s="31"/>
      <c r="EM221" s="31"/>
      <c r="EN221" s="31"/>
      <c r="EO221" s="31"/>
      <c r="EP221" s="31"/>
      <c r="EQ221" s="31"/>
      <c r="ER221" s="31"/>
      <c r="ES221" s="31"/>
      <c r="ET221" s="31"/>
      <c r="EU221" s="31"/>
      <c r="EV221" s="31"/>
      <c r="EW221" s="31"/>
      <c r="EX221" s="31"/>
      <c r="EY221" s="31"/>
      <c r="EZ221" s="31"/>
      <c r="FA221" s="31"/>
      <c r="FB221" s="31"/>
      <c r="FC221" s="31"/>
      <c r="FD221" s="31"/>
      <c r="FE221" s="31"/>
      <c r="FF221" s="31"/>
      <c r="FG221" s="31"/>
      <c r="FH221" s="31"/>
      <c r="FI221" s="31"/>
      <c r="FJ221" s="31"/>
      <c r="FK221" s="31"/>
      <c r="FL221" s="31"/>
      <c r="FM221" s="31"/>
      <c r="FN221" s="31"/>
      <c r="FO221" s="31"/>
      <c r="FP221" s="31"/>
      <c r="FQ221" s="31"/>
      <c r="FR221" s="31"/>
      <c r="FS221" s="31"/>
      <c r="FT221" s="31"/>
      <c r="FU221" s="31"/>
      <c r="FV221" s="31"/>
      <c r="FW221" s="31"/>
      <c r="FX221" s="31"/>
      <c r="FY221" s="31"/>
      <c r="FZ221" s="31"/>
      <c r="GA221" s="31"/>
      <c r="GB221" s="31"/>
      <c r="GC221" s="31"/>
      <c r="GD221" s="31"/>
      <c r="GE221" s="31"/>
      <c r="GF221" s="31"/>
      <c r="GG221" s="31"/>
      <c r="GH221" s="31"/>
      <c r="GI221" s="31"/>
      <c r="GJ221" s="31"/>
      <c r="GK221" s="31"/>
      <c r="GL221" s="31"/>
      <c r="GM221" s="31"/>
      <c r="GN221" s="31"/>
      <c r="GO221" s="31"/>
      <c r="GP221" s="31"/>
      <c r="GQ221" s="31"/>
      <c r="GR221" s="31"/>
      <c r="GS221" s="31"/>
      <c r="GT221" s="31"/>
      <c r="GU221" s="31"/>
      <c r="GV221" s="31"/>
      <c r="GW221" s="31"/>
      <c r="GX221" s="31"/>
      <c r="GY221" s="31"/>
      <c r="GZ221" s="31"/>
      <c r="HA221" s="31"/>
      <c r="HB221" s="31"/>
      <c r="HC221" s="31"/>
      <c r="HD221" s="31"/>
      <c r="HE221" s="31"/>
      <c r="HF221" s="31"/>
      <c r="HG221" s="31"/>
      <c r="HH221" s="31"/>
      <c r="HI221" s="31"/>
      <c r="HJ221" s="31"/>
      <c r="HK221" s="31"/>
      <c r="HL221" s="31"/>
      <c r="HM221" s="31"/>
      <c r="HN221" s="31"/>
      <c r="HO221" s="31"/>
      <c r="HP221" s="31"/>
      <c r="HQ221" s="31"/>
      <c r="HR221" s="31"/>
      <c r="HS221" s="31"/>
      <c r="HT221" s="31"/>
      <c r="HU221" s="31"/>
      <c r="HV221" s="31"/>
      <c r="HW221" s="31"/>
      <c r="HX221" s="31"/>
      <c r="HY221" s="31"/>
      <c r="HZ221" s="31"/>
    </row>
    <row r="222" spans="1:234" ht="14.25" customHeight="1" x14ac:dyDescent="0.35">
      <c r="A222" s="88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30"/>
      <c r="U222" s="27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  <c r="BD222" s="31"/>
      <c r="BE222" s="31"/>
      <c r="BF222" s="31"/>
      <c r="BG222" s="31"/>
      <c r="BH222" s="31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  <c r="BS222" s="31"/>
      <c r="BT222" s="31"/>
      <c r="BU222" s="31"/>
      <c r="BV222" s="31"/>
      <c r="BW222" s="31"/>
      <c r="BX222" s="31"/>
      <c r="BY222" s="31"/>
      <c r="BZ222" s="31"/>
      <c r="CA222" s="31"/>
      <c r="CB222" s="31"/>
      <c r="CC222" s="31"/>
      <c r="CD222" s="31"/>
      <c r="CE222" s="31"/>
      <c r="CF222" s="31"/>
      <c r="CG222" s="31"/>
      <c r="CH222" s="31"/>
      <c r="CI222" s="31"/>
      <c r="CJ222" s="31"/>
      <c r="CK222" s="31"/>
      <c r="CL222" s="31"/>
      <c r="CM222" s="31"/>
      <c r="CN222" s="31"/>
      <c r="CO222" s="31"/>
      <c r="CP222" s="31"/>
      <c r="CQ222" s="31"/>
      <c r="CR222" s="31"/>
      <c r="CS222" s="31"/>
      <c r="CT222" s="31"/>
      <c r="CU222" s="31"/>
      <c r="CV222" s="31"/>
      <c r="CW222" s="31"/>
      <c r="CX222" s="31"/>
      <c r="CY222" s="31"/>
      <c r="CZ222" s="31"/>
      <c r="DA222" s="31"/>
      <c r="DB222" s="31"/>
      <c r="DC222" s="31"/>
      <c r="DD222" s="31"/>
      <c r="DE222" s="31"/>
      <c r="DF222" s="31"/>
      <c r="DG222" s="31"/>
      <c r="DH222" s="31"/>
      <c r="DI222" s="31"/>
      <c r="DJ222" s="31"/>
      <c r="DK222" s="31"/>
      <c r="DL222" s="31"/>
      <c r="DM222" s="31"/>
      <c r="DN222" s="31"/>
      <c r="DO222" s="31"/>
      <c r="DP222" s="31"/>
      <c r="DQ222" s="31"/>
      <c r="DR222" s="31"/>
      <c r="DS222" s="31"/>
      <c r="DT222" s="31"/>
      <c r="DU222" s="31"/>
      <c r="DV222" s="31"/>
      <c r="DW222" s="31"/>
      <c r="DX222" s="31"/>
      <c r="DY222" s="31"/>
      <c r="DZ222" s="31"/>
      <c r="EA222" s="31"/>
      <c r="EB222" s="31"/>
      <c r="EC222" s="31"/>
      <c r="ED222" s="31"/>
      <c r="EE222" s="31"/>
      <c r="EF222" s="31"/>
      <c r="EG222" s="31"/>
      <c r="EH222" s="31"/>
      <c r="EI222" s="31"/>
      <c r="EJ222" s="31"/>
      <c r="EK222" s="31"/>
      <c r="EL222" s="31"/>
      <c r="EM222" s="31"/>
      <c r="EN222" s="31"/>
      <c r="EO222" s="31"/>
      <c r="EP222" s="31"/>
      <c r="EQ222" s="31"/>
      <c r="ER222" s="31"/>
      <c r="ES222" s="31"/>
      <c r="ET222" s="31"/>
      <c r="EU222" s="31"/>
      <c r="EV222" s="31"/>
      <c r="EW222" s="31"/>
      <c r="EX222" s="31"/>
      <c r="EY222" s="31"/>
      <c r="EZ222" s="31"/>
      <c r="FA222" s="31"/>
      <c r="FB222" s="31"/>
      <c r="FC222" s="31"/>
      <c r="FD222" s="31"/>
      <c r="FE222" s="31"/>
      <c r="FF222" s="31"/>
      <c r="FG222" s="31"/>
      <c r="FH222" s="31"/>
      <c r="FI222" s="31"/>
      <c r="FJ222" s="31"/>
      <c r="FK222" s="31"/>
      <c r="FL222" s="31"/>
      <c r="FM222" s="31"/>
      <c r="FN222" s="31"/>
      <c r="FO222" s="31"/>
      <c r="FP222" s="31"/>
      <c r="FQ222" s="31"/>
      <c r="FR222" s="31"/>
      <c r="FS222" s="31"/>
      <c r="FT222" s="31"/>
      <c r="FU222" s="31"/>
      <c r="FV222" s="31"/>
      <c r="FW222" s="31"/>
      <c r="FX222" s="31"/>
      <c r="FY222" s="31"/>
      <c r="FZ222" s="31"/>
      <c r="GA222" s="31"/>
      <c r="GB222" s="31"/>
      <c r="GC222" s="31"/>
      <c r="GD222" s="31"/>
      <c r="GE222" s="31"/>
      <c r="GF222" s="31"/>
      <c r="GG222" s="31"/>
      <c r="GH222" s="31"/>
      <c r="GI222" s="31"/>
      <c r="GJ222" s="31"/>
      <c r="GK222" s="31"/>
      <c r="GL222" s="31"/>
      <c r="GM222" s="31"/>
      <c r="GN222" s="31"/>
      <c r="GO222" s="31"/>
      <c r="GP222" s="31"/>
      <c r="GQ222" s="31"/>
      <c r="GR222" s="31"/>
      <c r="GS222" s="31"/>
      <c r="GT222" s="31"/>
      <c r="GU222" s="31"/>
      <c r="GV222" s="31"/>
      <c r="GW222" s="31"/>
      <c r="GX222" s="31"/>
      <c r="GY222" s="31"/>
      <c r="GZ222" s="31"/>
      <c r="HA222" s="31"/>
      <c r="HB222" s="31"/>
      <c r="HC222" s="31"/>
      <c r="HD222" s="31"/>
      <c r="HE222" s="31"/>
      <c r="HF222" s="31"/>
      <c r="HG222" s="31"/>
      <c r="HH222" s="31"/>
      <c r="HI222" s="31"/>
      <c r="HJ222" s="31"/>
      <c r="HK222" s="31"/>
      <c r="HL222" s="31"/>
      <c r="HM222" s="31"/>
      <c r="HN222" s="31"/>
      <c r="HO222" s="31"/>
      <c r="HP222" s="31"/>
      <c r="HQ222" s="31"/>
      <c r="HR222" s="31"/>
      <c r="HS222" s="31"/>
      <c r="HT222" s="31"/>
      <c r="HU222" s="31"/>
      <c r="HV222" s="31"/>
      <c r="HW222" s="31"/>
      <c r="HX222" s="31"/>
      <c r="HY222" s="31"/>
      <c r="HZ222" s="31"/>
    </row>
    <row r="223" spans="1:234" ht="14.25" customHeight="1" x14ac:dyDescent="0.35">
      <c r="A223" s="88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30"/>
      <c r="U223" s="27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  <c r="BD223" s="31"/>
      <c r="BE223" s="31"/>
      <c r="BF223" s="31"/>
      <c r="BG223" s="31"/>
      <c r="BH223" s="31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  <c r="BS223" s="31"/>
      <c r="BT223" s="31"/>
      <c r="BU223" s="31"/>
      <c r="BV223" s="31"/>
      <c r="BW223" s="31"/>
      <c r="BX223" s="31"/>
      <c r="BY223" s="31"/>
      <c r="BZ223" s="31"/>
      <c r="CA223" s="31"/>
      <c r="CB223" s="31"/>
      <c r="CC223" s="31"/>
      <c r="CD223" s="31"/>
      <c r="CE223" s="31"/>
      <c r="CF223" s="31"/>
      <c r="CG223" s="31"/>
      <c r="CH223" s="31"/>
      <c r="CI223" s="31"/>
      <c r="CJ223" s="31"/>
      <c r="CK223" s="31"/>
      <c r="CL223" s="31"/>
      <c r="CM223" s="31"/>
      <c r="CN223" s="31"/>
      <c r="CO223" s="31"/>
      <c r="CP223" s="31"/>
      <c r="CQ223" s="31"/>
      <c r="CR223" s="31"/>
      <c r="CS223" s="31"/>
      <c r="CT223" s="31"/>
      <c r="CU223" s="31"/>
      <c r="CV223" s="31"/>
      <c r="CW223" s="31"/>
      <c r="CX223" s="31"/>
      <c r="CY223" s="31"/>
      <c r="CZ223" s="31"/>
      <c r="DA223" s="31"/>
      <c r="DB223" s="31"/>
      <c r="DC223" s="31"/>
      <c r="DD223" s="31"/>
      <c r="DE223" s="31"/>
      <c r="DF223" s="31"/>
      <c r="DG223" s="31"/>
      <c r="DH223" s="31"/>
      <c r="DI223" s="31"/>
      <c r="DJ223" s="31"/>
      <c r="DK223" s="31"/>
      <c r="DL223" s="31"/>
      <c r="DM223" s="31"/>
      <c r="DN223" s="31"/>
      <c r="DO223" s="31"/>
      <c r="DP223" s="31"/>
      <c r="DQ223" s="31"/>
      <c r="DR223" s="31"/>
      <c r="DS223" s="31"/>
      <c r="DT223" s="31"/>
      <c r="DU223" s="31"/>
      <c r="DV223" s="31"/>
      <c r="DW223" s="31"/>
      <c r="DX223" s="31"/>
      <c r="DY223" s="31"/>
      <c r="DZ223" s="31"/>
      <c r="EA223" s="31"/>
      <c r="EB223" s="31"/>
      <c r="EC223" s="31"/>
      <c r="ED223" s="31"/>
      <c r="EE223" s="31"/>
      <c r="EF223" s="31"/>
      <c r="EG223" s="31"/>
      <c r="EH223" s="31"/>
      <c r="EI223" s="31"/>
      <c r="EJ223" s="31"/>
      <c r="EK223" s="31"/>
      <c r="EL223" s="31"/>
      <c r="EM223" s="31"/>
      <c r="EN223" s="31"/>
      <c r="EO223" s="31"/>
      <c r="EP223" s="31"/>
      <c r="EQ223" s="31"/>
      <c r="ER223" s="31"/>
      <c r="ES223" s="31"/>
      <c r="ET223" s="31"/>
      <c r="EU223" s="31"/>
      <c r="EV223" s="31"/>
      <c r="EW223" s="31"/>
      <c r="EX223" s="31"/>
      <c r="EY223" s="31"/>
      <c r="EZ223" s="31"/>
      <c r="FA223" s="31"/>
      <c r="FB223" s="31"/>
      <c r="FC223" s="31"/>
      <c r="FD223" s="31"/>
      <c r="FE223" s="31"/>
      <c r="FF223" s="31"/>
      <c r="FG223" s="31"/>
      <c r="FH223" s="31"/>
      <c r="FI223" s="31"/>
      <c r="FJ223" s="31"/>
      <c r="FK223" s="31"/>
      <c r="FL223" s="31"/>
      <c r="FM223" s="31"/>
      <c r="FN223" s="31"/>
      <c r="FO223" s="31"/>
      <c r="FP223" s="31"/>
      <c r="FQ223" s="31"/>
      <c r="FR223" s="31"/>
      <c r="FS223" s="31"/>
      <c r="FT223" s="31"/>
      <c r="FU223" s="31"/>
      <c r="FV223" s="31"/>
      <c r="FW223" s="31"/>
      <c r="FX223" s="31"/>
      <c r="FY223" s="31"/>
      <c r="FZ223" s="31"/>
      <c r="GA223" s="31"/>
      <c r="GB223" s="31"/>
      <c r="GC223" s="31"/>
      <c r="GD223" s="31"/>
      <c r="GE223" s="31"/>
      <c r="GF223" s="31"/>
      <c r="GG223" s="31"/>
      <c r="GH223" s="31"/>
      <c r="GI223" s="31"/>
      <c r="GJ223" s="31"/>
      <c r="GK223" s="31"/>
      <c r="GL223" s="31"/>
      <c r="GM223" s="31"/>
      <c r="GN223" s="31"/>
      <c r="GO223" s="31"/>
      <c r="GP223" s="31"/>
      <c r="GQ223" s="31"/>
      <c r="GR223" s="31"/>
      <c r="GS223" s="31"/>
      <c r="GT223" s="31"/>
      <c r="GU223" s="31"/>
      <c r="GV223" s="31"/>
      <c r="GW223" s="31"/>
      <c r="GX223" s="31"/>
      <c r="GY223" s="31"/>
      <c r="GZ223" s="31"/>
      <c r="HA223" s="31"/>
      <c r="HB223" s="31"/>
      <c r="HC223" s="31"/>
      <c r="HD223" s="31"/>
      <c r="HE223" s="31"/>
      <c r="HF223" s="31"/>
      <c r="HG223" s="31"/>
      <c r="HH223" s="31"/>
      <c r="HI223" s="31"/>
      <c r="HJ223" s="31"/>
      <c r="HK223" s="31"/>
      <c r="HL223" s="31"/>
      <c r="HM223" s="31"/>
      <c r="HN223" s="31"/>
      <c r="HO223" s="31"/>
      <c r="HP223" s="31"/>
      <c r="HQ223" s="31"/>
      <c r="HR223" s="31"/>
      <c r="HS223" s="31"/>
      <c r="HT223" s="31"/>
      <c r="HU223" s="31"/>
      <c r="HV223" s="31"/>
      <c r="HW223" s="31"/>
      <c r="HX223" s="31"/>
      <c r="HY223" s="31"/>
      <c r="HZ223" s="31"/>
    </row>
    <row r="224" spans="1:234" ht="14.25" customHeight="1" x14ac:dyDescent="0.35">
      <c r="A224" s="88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30"/>
      <c r="U224" s="27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  <c r="BD224" s="31"/>
      <c r="BE224" s="31"/>
      <c r="BF224" s="31"/>
      <c r="BG224" s="31"/>
      <c r="BH224" s="31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  <c r="BS224" s="31"/>
      <c r="BT224" s="31"/>
      <c r="BU224" s="31"/>
      <c r="BV224" s="31"/>
      <c r="BW224" s="31"/>
      <c r="BX224" s="31"/>
      <c r="BY224" s="31"/>
      <c r="BZ224" s="31"/>
      <c r="CA224" s="31"/>
      <c r="CB224" s="31"/>
      <c r="CC224" s="31"/>
      <c r="CD224" s="31"/>
      <c r="CE224" s="31"/>
      <c r="CF224" s="31"/>
      <c r="CG224" s="31"/>
      <c r="CH224" s="31"/>
      <c r="CI224" s="31"/>
      <c r="CJ224" s="31"/>
      <c r="CK224" s="31"/>
      <c r="CL224" s="31"/>
      <c r="CM224" s="31"/>
      <c r="CN224" s="31"/>
      <c r="CO224" s="31"/>
      <c r="CP224" s="31"/>
      <c r="CQ224" s="31"/>
      <c r="CR224" s="31"/>
      <c r="CS224" s="31"/>
      <c r="CT224" s="31"/>
      <c r="CU224" s="31"/>
      <c r="CV224" s="31"/>
      <c r="CW224" s="31"/>
      <c r="CX224" s="31"/>
      <c r="CY224" s="31"/>
      <c r="CZ224" s="31"/>
      <c r="DA224" s="31"/>
      <c r="DB224" s="31"/>
      <c r="DC224" s="31"/>
      <c r="DD224" s="31"/>
      <c r="DE224" s="31"/>
      <c r="DF224" s="31"/>
      <c r="DG224" s="31"/>
      <c r="DH224" s="31"/>
      <c r="DI224" s="31"/>
      <c r="DJ224" s="31"/>
      <c r="DK224" s="31"/>
      <c r="DL224" s="31"/>
      <c r="DM224" s="31"/>
      <c r="DN224" s="31"/>
      <c r="DO224" s="31"/>
      <c r="DP224" s="31"/>
      <c r="DQ224" s="31"/>
      <c r="DR224" s="31"/>
      <c r="DS224" s="31"/>
      <c r="DT224" s="31"/>
      <c r="DU224" s="31"/>
      <c r="DV224" s="31"/>
      <c r="DW224" s="31"/>
      <c r="DX224" s="31"/>
      <c r="DY224" s="31"/>
      <c r="DZ224" s="31"/>
      <c r="EA224" s="31"/>
      <c r="EB224" s="31"/>
      <c r="EC224" s="31"/>
      <c r="ED224" s="31"/>
      <c r="EE224" s="31"/>
      <c r="EF224" s="31"/>
      <c r="EG224" s="31"/>
      <c r="EH224" s="31"/>
      <c r="EI224" s="31"/>
      <c r="EJ224" s="31"/>
      <c r="EK224" s="31"/>
      <c r="EL224" s="31"/>
      <c r="EM224" s="31"/>
      <c r="EN224" s="31"/>
      <c r="EO224" s="31"/>
      <c r="EP224" s="31"/>
      <c r="EQ224" s="31"/>
      <c r="ER224" s="31"/>
      <c r="ES224" s="31"/>
      <c r="ET224" s="31"/>
      <c r="EU224" s="31"/>
      <c r="EV224" s="31"/>
      <c r="EW224" s="31"/>
      <c r="EX224" s="31"/>
      <c r="EY224" s="31"/>
      <c r="EZ224" s="31"/>
      <c r="FA224" s="31"/>
      <c r="FB224" s="31"/>
      <c r="FC224" s="31"/>
      <c r="FD224" s="31"/>
      <c r="FE224" s="31"/>
      <c r="FF224" s="31"/>
      <c r="FG224" s="31"/>
      <c r="FH224" s="31"/>
      <c r="FI224" s="31"/>
      <c r="FJ224" s="31"/>
      <c r="FK224" s="31"/>
      <c r="FL224" s="31"/>
      <c r="FM224" s="31"/>
      <c r="FN224" s="31"/>
      <c r="FO224" s="31"/>
      <c r="FP224" s="31"/>
      <c r="FQ224" s="31"/>
      <c r="FR224" s="31"/>
      <c r="FS224" s="31"/>
      <c r="FT224" s="31"/>
      <c r="FU224" s="31"/>
      <c r="FV224" s="31"/>
      <c r="FW224" s="31"/>
      <c r="FX224" s="31"/>
      <c r="FY224" s="31"/>
      <c r="FZ224" s="31"/>
      <c r="GA224" s="31"/>
      <c r="GB224" s="31"/>
      <c r="GC224" s="31"/>
      <c r="GD224" s="31"/>
      <c r="GE224" s="31"/>
      <c r="GF224" s="31"/>
      <c r="GG224" s="31"/>
      <c r="GH224" s="31"/>
      <c r="GI224" s="31"/>
      <c r="GJ224" s="31"/>
      <c r="GK224" s="31"/>
      <c r="GL224" s="31"/>
      <c r="GM224" s="31"/>
      <c r="GN224" s="31"/>
      <c r="GO224" s="31"/>
      <c r="GP224" s="31"/>
      <c r="GQ224" s="31"/>
      <c r="GR224" s="31"/>
      <c r="GS224" s="31"/>
      <c r="GT224" s="31"/>
      <c r="GU224" s="31"/>
      <c r="GV224" s="31"/>
      <c r="GW224" s="31"/>
      <c r="GX224" s="31"/>
      <c r="GY224" s="31"/>
      <c r="GZ224" s="31"/>
      <c r="HA224" s="31"/>
      <c r="HB224" s="31"/>
      <c r="HC224" s="31"/>
      <c r="HD224" s="31"/>
      <c r="HE224" s="31"/>
      <c r="HF224" s="31"/>
      <c r="HG224" s="31"/>
      <c r="HH224" s="31"/>
      <c r="HI224" s="31"/>
      <c r="HJ224" s="31"/>
      <c r="HK224" s="31"/>
      <c r="HL224" s="31"/>
      <c r="HM224" s="31"/>
      <c r="HN224" s="31"/>
      <c r="HO224" s="31"/>
      <c r="HP224" s="31"/>
      <c r="HQ224" s="31"/>
      <c r="HR224" s="31"/>
      <c r="HS224" s="31"/>
      <c r="HT224" s="31"/>
      <c r="HU224" s="31"/>
      <c r="HV224" s="31"/>
      <c r="HW224" s="31"/>
      <c r="HX224" s="31"/>
      <c r="HY224" s="31"/>
      <c r="HZ224" s="31"/>
    </row>
    <row r="225" spans="1:234" ht="14.25" customHeight="1" x14ac:dyDescent="0.35">
      <c r="A225" s="88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30"/>
      <c r="U225" s="27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31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  <c r="BS225" s="31"/>
      <c r="BT225" s="31"/>
      <c r="BU225" s="31"/>
      <c r="BV225" s="31"/>
      <c r="BW225" s="31"/>
      <c r="BX225" s="31"/>
      <c r="BY225" s="31"/>
      <c r="BZ225" s="31"/>
      <c r="CA225" s="31"/>
      <c r="CB225" s="31"/>
      <c r="CC225" s="31"/>
      <c r="CD225" s="31"/>
      <c r="CE225" s="31"/>
      <c r="CF225" s="31"/>
      <c r="CG225" s="31"/>
      <c r="CH225" s="31"/>
      <c r="CI225" s="31"/>
      <c r="CJ225" s="31"/>
      <c r="CK225" s="31"/>
      <c r="CL225" s="31"/>
      <c r="CM225" s="31"/>
      <c r="CN225" s="31"/>
      <c r="CO225" s="31"/>
      <c r="CP225" s="31"/>
      <c r="CQ225" s="31"/>
      <c r="CR225" s="31"/>
      <c r="CS225" s="31"/>
      <c r="CT225" s="31"/>
      <c r="CU225" s="31"/>
      <c r="CV225" s="31"/>
      <c r="CW225" s="31"/>
      <c r="CX225" s="31"/>
      <c r="CY225" s="31"/>
      <c r="CZ225" s="31"/>
      <c r="DA225" s="31"/>
      <c r="DB225" s="31"/>
      <c r="DC225" s="31"/>
      <c r="DD225" s="31"/>
      <c r="DE225" s="31"/>
      <c r="DF225" s="31"/>
      <c r="DG225" s="31"/>
      <c r="DH225" s="31"/>
      <c r="DI225" s="31"/>
      <c r="DJ225" s="31"/>
      <c r="DK225" s="31"/>
      <c r="DL225" s="31"/>
      <c r="DM225" s="31"/>
      <c r="DN225" s="31"/>
      <c r="DO225" s="31"/>
      <c r="DP225" s="31"/>
      <c r="DQ225" s="31"/>
      <c r="DR225" s="31"/>
      <c r="DS225" s="31"/>
      <c r="DT225" s="31"/>
      <c r="DU225" s="31"/>
      <c r="DV225" s="31"/>
      <c r="DW225" s="31"/>
      <c r="DX225" s="31"/>
      <c r="DY225" s="31"/>
      <c r="DZ225" s="31"/>
      <c r="EA225" s="31"/>
      <c r="EB225" s="31"/>
      <c r="EC225" s="31"/>
      <c r="ED225" s="31"/>
      <c r="EE225" s="31"/>
      <c r="EF225" s="31"/>
      <c r="EG225" s="31"/>
      <c r="EH225" s="31"/>
      <c r="EI225" s="31"/>
      <c r="EJ225" s="31"/>
      <c r="EK225" s="31"/>
      <c r="EL225" s="31"/>
      <c r="EM225" s="31"/>
      <c r="EN225" s="31"/>
      <c r="EO225" s="31"/>
      <c r="EP225" s="31"/>
      <c r="EQ225" s="31"/>
      <c r="ER225" s="31"/>
      <c r="ES225" s="31"/>
      <c r="ET225" s="31"/>
      <c r="EU225" s="31"/>
      <c r="EV225" s="31"/>
      <c r="EW225" s="31"/>
      <c r="EX225" s="31"/>
      <c r="EY225" s="31"/>
      <c r="EZ225" s="31"/>
      <c r="FA225" s="31"/>
      <c r="FB225" s="31"/>
      <c r="FC225" s="31"/>
      <c r="FD225" s="31"/>
      <c r="FE225" s="31"/>
      <c r="FF225" s="31"/>
      <c r="FG225" s="31"/>
      <c r="FH225" s="31"/>
      <c r="FI225" s="31"/>
      <c r="FJ225" s="31"/>
      <c r="FK225" s="31"/>
      <c r="FL225" s="31"/>
      <c r="FM225" s="31"/>
      <c r="FN225" s="31"/>
      <c r="FO225" s="31"/>
      <c r="FP225" s="31"/>
      <c r="FQ225" s="31"/>
      <c r="FR225" s="31"/>
      <c r="FS225" s="31"/>
      <c r="FT225" s="31"/>
      <c r="FU225" s="31"/>
      <c r="FV225" s="31"/>
      <c r="FW225" s="31"/>
      <c r="FX225" s="31"/>
      <c r="FY225" s="31"/>
      <c r="FZ225" s="31"/>
      <c r="GA225" s="31"/>
      <c r="GB225" s="31"/>
      <c r="GC225" s="31"/>
      <c r="GD225" s="31"/>
      <c r="GE225" s="31"/>
      <c r="GF225" s="31"/>
      <c r="GG225" s="31"/>
      <c r="GH225" s="31"/>
      <c r="GI225" s="31"/>
      <c r="GJ225" s="31"/>
      <c r="GK225" s="31"/>
      <c r="GL225" s="31"/>
      <c r="GM225" s="31"/>
      <c r="GN225" s="31"/>
      <c r="GO225" s="31"/>
      <c r="GP225" s="31"/>
      <c r="GQ225" s="31"/>
      <c r="GR225" s="31"/>
      <c r="GS225" s="31"/>
      <c r="GT225" s="31"/>
      <c r="GU225" s="31"/>
      <c r="GV225" s="31"/>
      <c r="GW225" s="31"/>
      <c r="GX225" s="31"/>
      <c r="GY225" s="31"/>
      <c r="GZ225" s="31"/>
      <c r="HA225" s="31"/>
      <c r="HB225" s="31"/>
      <c r="HC225" s="31"/>
      <c r="HD225" s="31"/>
      <c r="HE225" s="31"/>
      <c r="HF225" s="31"/>
      <c r="HG225" s="31"/>
      <c r="HH225" s="31"/>
      <c r="HI225" s="31"/>
      <c r="HJ225" s="31"/>
      <c r="HK225" s="31"/>
      <c r="HL225" s="31"/>
      <c r="HM225" s="31"/>
      <c r="HN225" s="31"/>
      <c r="HO225" s="31"/>
      <c r="HP225" s="31"/>
      <c r="HQ225" s="31"/>
      <c r="HR225" s="31"/>
      <c r="HS225" s="31"/>
      <c r="HT225" s="31"/>
      <c r="HU225" s="31"/>
      <c r="HV225" s="31"/>
      <c r="HW225" s="31"/>
      <c r="HX225" s="31"/>
      <c r="HY225" s="31"/>
      <c r="HZ225" s="31"/>
    </row>
    <row r="226" spans="1:234" ht="14.25" customHeight="1" x14ac:dyDescent="0.35">
      <c r="A226" s="88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30"/>
      <c r="U226" s="27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  <c r="BB226" s="31"/>
      <c r="BC226" s="31"/>
      <c r="BD226" s="31"/>
      <c r="BE226" s="31"/>
      <c r="BF226" s="31"/>
      <c r="BG226" s="31"/>
      <c r="BH226" s="31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  <c r="BS226" s="31"/>
      <c r="BT226" s="31"/>
      <c r="BU226" s="31"/>
      <c r="BV226" s="31"/>
      <c r="BW226" s="31"/>
      <c r="BX226" s="31"/>
      <c r="BY226" s="31"/>
      <c r="BZ226" s="31"/>
      <c r="CA226" s="31"/>
      <c r="CB226" s="31"/>
      <c r="CC226" s="31"/>
      <c r="CD226" s="31"/>
      <c r="CE226" s="31"/>
      <c r="CF226" s="31"/>
      <c r="CG226" s="31"/>
      <c r="CH226" s="31"/>
      <c r="CI226" s="31"/>
      <c r="CJ226" s="31"/>
      <c r="CK226" s="31"/>
      <c r="CL226" s="31"/>
      <c r="CM226" s="31"/>
      <c r="CN226" s="31"/>
      <c r="CO226" s="31"/>
      <c r="CP226" s="31"/>
      <c r="CQ226" s="31"/>
      <c r="CR226" s="31"/>
      <c r="CS226" s="31"/>
      <c r="CT226" s="31"/>
      <c r="CU226" s="31"/>
      <c r="CV226" s="31"/>
      <c r="CW226" s="31"/>
      <c r="CX226" s="31"/>
      <c r="CY226" s="31"/>
      <c r="CZ226" s="31"/>
      <c r="DA226" s="31"/>
      <c r="DB226" s="31"/>
      <c r="DC226" s="31"/>
      <c r="DD226" s="31"/>
      <c r="DE226" s="31"/>
      <c r="DF226" s="31"/>
      <c r="DG226" s="31"/>
      <c r="DH226" s="31"/>
      <c r="DI226" s="31"/>
      <c r="DJ226" s="31"/>
      <c r="DK226" s="31"/>
      <c r="DL226" s="31"/>
      <c r="DM226" s="31"/>
      <c r="DN226" s="31"/>
      <c r="DO226" s="31"/>
      <c r="DP226" s="31"/>
      <c r="DQ226" s="31"/>
      <c r="DR226" s="31"/>
      <c r="DS226" s="31"/>
      <c r="DT226" s="31"/>
      <c r="DU226" s="31"/>
      <c r="DV226" s="31"/>
      <c r="DW226" s="31"/>
      <c r="DX226" s="31"/>
      <c r="DY226" s="31"/>
      <c r="DZ226" s="31"/>
      <c r="EA226" s="31"/>
      <c r="EB226" s="31"/>
      <c r="EC226" s="31"/>
      <c r="ED226" s="31"/>
      <c r="EE226" s="31"/>
      <c r="EF226" s="31"/>
      <c r="EG226" s="31"/>
      <c r="EH226" s="31"/>
      <c r="EI226" s="31"/>
      <c r="EJ226" s="31"/>
      <c r="EK226" s="31"/>
      <c r="EL226" s="31"/>
      <c r="EM226" s="31"/>
      <c r="EN226" s="31"/>
      <c r="EO226" s="31"/>
      <c r="EP226" s="31"/>
      <c r="EQ226" s="31"/>
      <c r="ER226" s="31"/>
      <c r="ES226" s="31"/>
      <c r="ET226" s="31"/>
      <c r="EU226" s="31"/>
      <c r="EV226" s="31"/>
      <c r="EW226" s="31"/>
      <c r="EX226" s="31"/>
      <c r="EY226" s="31"/>
      <c r="EZ226" s="31"/>
      <c r="FA226" s="31"/>
      <c r="FB226" s="31"/>
      <c r="FC226" s="31"/>
      <c r="FD226" s="31"/>
      <c r="FE226" s="31"/>
      <c r="FF226" s="31"/>
      <c r="FG226" s="31"/>
      <c r="FH226" s="31"/>
      <c r="FI226" s="31"/>
      <c r="FJ226" s="31"/>
      <c r="FK226" s="31"/>
      <c r="FL226" s="31"/>
      <c r="FM226" s="31"/>
      <c r="FN226" s="31"/>
      <c r="FO226" s="31"/>
      <c r="FP226" s="31"/>
      <c r="FQ226" s="31"/>
      <c r="FR226" s="31"/>
      <c r="FS226" s="31"/>
      <c r="FT226" s="31"/>
      <c r="FU226" s="31"/>
      <c r="FV226" s="31"/>
      <c r="FW226" s="31"/>
      <c r="FX226" s="31"/>
      <c r="FY226" s="31"/>
      <c r="FZ226" s="31"/>
      <c r="GA226" s="31"/>
      <c r="GB226" s="31"/>
      <c r="GC226" s="31"/>
      <c r="GD226" s="31"/>
      <c r="GE226" s="31"/>
      <c r="GF226" s="31"/>
      <c r="GG226" s="31"/>
      <c r="GH226" s="31"/>
      <c r="GI226" s="31"/>
      <c r="GJ226" s="31"/>
      <c r="GK226" s="31"/>
      <c r="GL226" s="31"/>
      <c r="GM226" s="31"/>
      <c r="GN226" s="31"/>
      <c r="GO226" s="31"/>
      <c r="GP226" s="31"/>
      <c r="GQ226" s="31"/>
      <c r="GR226" s="31"/>
      <c r="GS226" s="31"/>
      <c r="GT226" s="31"/>
      <c r="GU226" s="31"/>
      <c r="GV226" s="31"/>
      <c r="GW226" s="31"/>
      <c r="GX226" s="31"/>
      <c r="GY226" s="31"/>
      <c r="GZ226" s="31"/>
      <c r="HA226" s="31"/>
      <c r="HB226" s="31"/>
      <c r="HC226" s="31"/>
      <c r="HD226" s="31"/>
      <c r="HE226" s="31"/>
      <c r="HF226" s="31"/>
      <c r="HG226" s="31"/>
      <c r="HH226" s="31"/>
      <c r="HI226" s="31"/>
      <c r="HJ226" s="31"/>
      <c r="HK226" s="31"/>
      <c r="HL226" s="31"/>
      <c r="HM226" s="31"/>
      <c r="HN226" s="31"/>
      <c r="HO226" s="31"/>
      <c r="HP226" s="31"/>
      <c r="HQ226" s="31"/>
      <c r="HR226" s="31"/>
      <c r="HS226" s="31"/>
      <c r="HT226" s="31"/>
      <c r="HU226" s="31"/>
      <c r="HV226" s="31"/>
      <c r="HW226" s="31"/>
      <c r="HX226" s="31"/>
      <c r="HY226" s="31"/>
      <c r="HZ226" s="31"/>
    </row>
    <row r="227" spans="1:234" ht="14.25" customHeight="1" x14ac:dyDescent="0.35">
      <c r="A227" s="88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30"/>
      <c r="U227" s="27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  <c r="BB227" s="31"/>
      <c r="BC227" s="31"/>
      <c r="BD227" s="31"/>
      <c r="BE227" s="31"/>
      <c r="BF227" s="31"/>
      <c r="BG227" s="31"/>
      <c r="BH227" s="31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  <c r="BS227" s="31"/>
      <c r="BT227" s="31"/>
      <c r="BU227" s="31"/>
      <c r="BV227" s="31"/>
      <c r="BW227" s="31"/>
      <c r="BX227" s="31"/>
      <c r="BY227" s="31"/>
      <c r="BZ227" s="31"/>
      <c r="CA227" s="31"/>
      <c r="CB227" s="31"/>
      <c r="CC227" s="31"/>
      <c r="CD227" s="31"/>
      <c r="CE227" s="31"/>
      <c r="CF227" s="31"/>
      <c r="CG227" s="31"/>
      <c r="CH227" s="31"/>
      <c r="CI227" s="31"/>
      <c r="CJ227" s="31"/>
      <c r="CK227" s="31"/>
      <c r="CL227" s="31"/>
      <c r="CM227" s="31"/>
      <c r="CN227" s="31"/>
      <c r="CO227" s="31"/>
      <c r="CP227" s="31"/>
      <c r="CQ227" s="31"/>
      <c r="CR227" s="31"/>
      <c r="CS227" s="31"/>
      <c r="CT227" s="31"/>
      <c r="CU227" s="31"/>
      <c r="CV227" s="31"/>
      <c r="CW227" s="31"/>
      <c r="CX227" s="31"/>
      <c r="CY227" s="31"/>
      <c r="CZ227" s="31"/>
      <c r="DA227" s="31"/>
      <c r="DB227" s="31"/>
      <c r="DC227" s="31"/>
      <c r="DD227" s="31"/>
      <c r="DE227" s="31"/>
      <c r="DF227" s="31"/>
      <c r="DG227" s="31"/>
      <c r="DH227" s="31"/>
      <c r="DI227" s="31"/>
      <c r="DJ227" s="31"/>
      <c r="DK227" s="31"/>
      <c r="DL227" s="31"/>
      <c r="DM227" s="31"/>
      <c r="DN227" s="31"/>
      <c r="DO227" s="31"/>
      <c r="DP227" s="31"/>
      <c r="DQ227" s="31"/>
      <c r="DR227" s="31"/>
      <c r="DS227" s="31"/>
      <c r="DT227" s="31"/>
      <c r="DU227" s="31"/>
      <c r="DV227" s="31"/>
      <c r="DW227" s="31"/>
      <c r="DX227" s="31"/>
      <c r="DY227" s="31"/>
      <c r="DZ227" s="31"/>
      <c r="EA227" s="31"/>
      <c r="EB227" s="31"/>
      <c r="EC227" s="31"/>
      <c r="ED227" s="31"/>
      <c r="EE227" s="31"/>
      <c r="EF227" s="31"/>
      <c r="EG227" s="31"/>
      <c r="EH227" s="31"/>
      <c r="EI227" s="31"/>
      <c r="EJ227" s="31"/>
      <c r="EK227" s="31"/>
      <c r="EL227" s="31"/>
      <c r="EM227" s="31"/>
      <c r="EN227" s="31"/>
      <c r="EO227" s="31"/>
      <c r="EP227" s="31"/>
      <c r="EQ227" s="31"/>
      <c r="ER227" s="31"/>
      <c r="ES227" s="31"/>
      <c r="ET227" s="31"/>
      <c r="EU227" s="31"/>
      <c r="EV227" s="31"/>
      <c r="EW227" s="31"/>
      <c r="EX227" s="31"/>
      <c r="EY227" s="31"/>
      <c r="EZ227" s="31"/>
      <c r="FA227" s="31"/>
      <c r="FB227" s="31"/>
      <c r="FC227" s="31"/>
      <c r="FD227" s="31"/>
      <c r="FE227" s="31"/>
      <c r="FF227" s="31"/>
      <c r="FG227" s="31"/>
      <c r="FH227" s="31"/>
      <c r="FI227" s="31"/>
      <c r="FJ227" s="31"/>
      <c r="FK227" s="31"/>
      <c r="FL227" s="31"/>
      <c r="FM227" s="31"/>
      <c r="FN227" s="31"/>
      <c r="FO227" s="31"/>
      <c r="FP227" s="31"/>
      <c r="FQ227" s="31"/>
      <c r="FR227" s="31"/>
      <c r="FS227" s="31"/>
      <c r="FT227" s="31"/>
      <c r="FU227" s="31"/>
      <c r="FV227" s="31"/>
      <c r="FW227" s="31"/>
      <c r="FX227" s="31"/>
      <c r="FY227" s="31"/>
      <c r="FZ227" s="31"/>
      <c r="GA227" s="31"/>
      <c r="GB227" s="31"/>
      <c r="GC227" s="31"/>
      <c r="GD227" s="31"/>
      <c r="GE227" s="31"/>
      <c r="GF227" s="31"/>
      <c r="GG227" s="31"/>
      <c r="GH227" s="31"/>
      <c r="GI227" s="31"/>
      <c r="GJ227" s="31"/>
      <c r="GK227" s="31"/>
      <c r="GL227" s="31"/>
      <c r="GM227" s="31"/>
      <c r="GN227" s="31"/>
      <c r="GO227" s="31"/>
      <c r="GP227" s="31"/>
      <c r="GQ227" s="31"/>
      <c r="GR227" s="31"/>
      <c r="GS227" s="31"/>
      <c r="GT227" s="31"/>
      <c r="GU227" s="31"/>
      <c r="GV227" s="31"/>
      <c r="GW227" s="31"/>
      <c r="GX227" s="31"/>
      <c r="GY227" s="31"/>
      <c r="GZ227" s="31"/>
      <c r="HA227" s="31"/>
      <c r="HB227" s="31"/>
      <c r="HC227" s="31"/>
      <c r="HD227" s="31"/>
      <c r="HE227" s="31"/>
      <c r="HF227" s="31"/>
      <c r="HG227" s="31"/>
      <c r="HH227" s="31"/>
      <c r="HI227" s="31"/>
      <c r="HJ227" s="31"/>
      <c r="HK227" s="31"/>
      <c r="HL227" s="31"/>
      <c r="HM227" s="31"/>
      <c r="HN227" s="31"/>
      <c r="HO227" s="31"/>
      <c r="HP227" s="31"/>
      <c r="HQ227" s="31"/>
      <c r="HR227" s="31"/>
      <c r="HS227" s="31"/>
      <c r="HT227" s="31"/>
      <c r="HU227" s="31"/>
      <c r="HV227" s="31"/>
      <c r="HW227" s="31"/>
      <c r="HX227" s="31"/>
      <c r="HY227" s="31"/>
      <c r="HZ227" s="31"/>
    </row>
    <row r="228" spans="1:234" ht="14.25" customHeight="1" x14ac:dyDescent="0.35">
      <c r="A228" s="88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30"/>
      <c r="U228" s="27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  <c r="BD228" s="31"/>
      <c r="BE228" s="31"/>
      <c r="BF228" s="31"/>
      <c r="BG228" s="31"/>
      <c r="BH228" s="31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  <c r="BS228" s="31"/>
      <c r="BT228" s="31"/>
      <c r="BU228" s="31"/>
      <c r="BV228" s="31"/>
      <c r="BW228" s="31"/>
      <c r="BX228" s="31"/>
      <c r="BY228" s="31"/>
      <c r="BZ228" s="31"/>
      <c r="CA228" s="31"/>
      <c r="CB228" s="31"/>
      <c r="CC228" s="31"/>
      <c r="CD228" s="31"/>
      <c r="CE228" s="31"/>
      <c r="CF228" s="31"/>
      <c r="CG228" s="31"/>
      <c r="CH228" s="31"/>
      <c r="CI228" s="31"/>
      <c r="CJ228" s="31"/>
      <c r="CK228" s="31"/>
      <c r="CL228" s="31"/>
      <c r="CM228" s="31"/>
      <c r="CN228" s="31"/>
      <c r="CO228" s="31"/>
      <c r="CP228" s="31"/>
      <c r="CQ228" s="31"/>
      <c r="CR228" s="31"/>
      <c r="CS228" s="31"/>
      <c r="CT228" s="31"/>
      <c r="CU228" s="31"/>
      <c r="CV228" s="31"/>
      <c r="CW228" s="31"/>
      <c r="CX228" s="31"/>
      <c r="CY228" s="31"/>
      <c r="CZ228" s="31"/>
      <c r="DA228" s="31"/>
      <c r="DB228" s="31"/>
      <c r="DC228" s="31"/>
      <c r="DD228" s="31"/>
      <c r="DE228" s="31"/>
      <c r="DF228" s="31"/>
      <c r="DG228" s="31"/>
      <c r="DH228" s="31"/>
      <c r="DI228" s="31"/>
      <c r="DJ228" s="31"/>
      <c r="DK228" s="31"/>
      <c r="DL228" s="31"/>
      <c r="DM228" s="31"/>
      <c r="DN228" s="31"/>
      <c r="DO228" s="31"/>
      <c r="DP228" s="31"/>
      <c r="DQ228" s="31"/>
      <c r="DR228" s="31"/>
      <c r="DS228" s="31"/>
      <c r="DT228" s="31"/>
      <c r="DU228" s="31"/>
      <c r="DV228" s="31"/>
      <c r="DW228" s="31"/>
      <c r="DX228" s="31"/>
      <c r="DY228" s="31"/>
      <c r="DZ228" s="31"/>
      <c r="EA228" s="31"/>
      <c r="EB228" s="31"/>
      <c r="EC228" s="31"/>
      <c r="ED228" s="31"/>
      <c r="EE228" s="31"/>
      <c r="EF228" s="31"/>
      <c r="EG228" s="31"/>
      <c r="EH228" s="31"/>
      <c r="EI228" s="31"/>
      <c r="EJ228" s="31"/>
      <c r="EK228" s="31"/>
      <c r="EL228" s="31"/>
      <c r="EM228" s="31"/>
      <c r="EN228" s="31"/>
      <c r="EO228" s="31"/>
      <c r="EP228" s="31"/>
      <c r="EQ228" s="31"/>
      <c r="ER228" s="31"/>
      <c r="ES228" s="31"/>
      <c r="ET228" s="31"/>
      <c r="EU228" s="31"/>
      <c r="EV228" s="31"/>
      <c r="EW228" s="31"/>
      <c r="EX228" s="31"/>
      <c r="EY228" s="31"/>
      <c r="EZ228" s="31"/>
      <c r="FA228" s="31"/>
      <c r="FB228" s="31"/>
      <c r="FC228" s="31"/>
      <c r="FD228" s="31"/>
      <c r="FE228" s="31"/>
      <c r="FF228" s="31"/>
      <c r="FG228" s="31"/>
      <c r="FH228" s="31"/>
      <c r="FI228" s="31"/>
      <c r="FJ228" s="31"/>
      <c r="FK228" s="31"/>
      <c r="FL228" s="31"/>
      <c r="FM228" s="31"/>
      <c r="FN228" s="31"/>
      <c r="FO228" s="31"/>
      <c r="FP228" s="31"/>
      <c r="FQ228" s="31"/>
      <c r="FR228" s="31"/>
      <c r="FS228" s="31"/>
      <c r="FT228" s="31"/>
      <c r="FU228" s="31"/>
      <c r="FV228" s="31"/>
      <c r="FW228" s="31"/>
      <c r="FX228" s="31"/>
      <c r="FY228" s="31"/>
      <c r="FZ228" s="31"/>
      <c r="GA228" s="31"/>
      <c r="GB228" s="31"/>
      <c r="GC228" s="31"/>
      <c r="GD228" s="31"/>
      <c r="GE228" s="31"/>
      <c r="GF228" s="31"/>
      <c r="GG228" s="31"/>
      <c r="GH228" s="31"/>
      <c r="GI228" s="31"/>
      <c r="GJ228" s="31"/>
      <c r="GK228" s="31"/>
      <c r="GL228" s="31"/>
      <c r="GM228" s="31"/>
      <c r="GN228" s="31"/>
      <c r="GO228" s="31"/>
      <c r="GP228" s="31"/>
      <c r="GQ228" s="31"/>
      <c r="GR228" s="31"/>
      <c r="GS228" s="31"/>
      <c r="GT228" s="31"/>
      <c r="GU228" s="31"/>
      <c r="GV228" s="31"/>
      <c r="GW228" s="31"/>
      <c r="GX228" s="31"/>
      <c r="GY228" s="31"/>
      <c r="GZ228" s="31"/>
      <c r="HA228" s="31"/>
      <c r="HB228" s="31"/>
      <c r="HC228" s="31"/>
      <c r="HD228" s="31"/>
      <c r="HE228" s="31"/>
      <c r="HF228" s="31"/>
      <c r="HG228" s="31"/>
      <c r="HH228" s="31"/>
      <c r="HI228" s="31"/>
      <c r="HJ228" s="31"/>
      <c r="HK228" s="31"/>
      <c r="HL228" s="31"/>
      <c r="HM228" s="31"/>
      <c r="HN228" s="31"/>
      <c r="HO228" s="31"/>
      <c r="HP228" s="31"/>
      <c r="HQ228" s="31"/>
      <c r="HR228" s="31"/>
      <c r="HS228" s="31"/>
      <c r="HT228" s="31"/>
      <c r="HU228" s="31"/>
      <c r="HV228" s="31"/>
      <c r="HW228" s="31"/>
      <c r="HX228" s="31"/>
      <c r="HY228" s="31"/>
      <c r="HZ228" s="31"/>
    </row>
    <row r="229" spans="1:234" ht="14.25" customHeight="1" x14ac:dyDescent="0.35">
      <c r="A229" s="88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30"/>
      <c r="U229" s="27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  <c r="BD229" s="31"/>
      <c r="BE229" s="31"/>
      <c r="BF229" s="31"/>
      <c r="BG229" s="31"/>
      <c r="BH229" s="31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  <c r="BS229" s="31"/>
      <c r="BT229" s="31"/>
      <c r="BU229" s="31"/>
      <c r="BV229" s="31"/>
      <c r="BW229" s="31"/>
      <c r="BX229" s="31"/>
      <c r="BY229" s="31"/>
      <c r="BZ229" s="31"/>
      <c r="CA229" s="31"/>
      <c r="CB229" s="31"/>
      <c r="CC229" s="31"/>
      <c r="CD229" s="31"/>
      <c r="CE229" s="31"/>
      <c r="CF229" s="31"/>
      <c r="CG229" s="31"/>
      <c r="CH229" s="31"/>
      <c r="CI229" s="31"/>
      <c r="CJ229" s="31"/>
      <c r="CK229" s="31"/>
      <c r="CL229" s="31"/>
      <c r="CM229" s="31"/>
      <c r="CN229" s="31"/>
      <c r="CO229" s="31"/>
      <c r="CP229" s="31"/>
      <c r="CQ229" s="31"/>
      <c r="CR229" s="31"/>
      <c r="CS229" s="31"/>
      <c r="CT229" s="31"/>
      <c r="CU229" s="31"/>
      <c r="CV229" s="31"/>
      <c r="CW229" s="31"/>
      <c r="CX229" s="31"/>
      <c r="CY229" s="31"/>
      <c r="CZ229" s="31"/>
      <c r="DA229" s="31"/>
      <c r="DB229" s="31"/>
      <c r="DC229" s="31"/>
      <c r="DD229" s="31"/>
      <c r="DE229" s="31"/>
      <c r="DF229" s="31"/>
      <c r="DG229" s="31"/>
      <c r="DH229" s="31"/>
      <c r="DI229" s="31"/>
      <c r="DJ229" s="31"/>
      <c r="DK229" s="31"/>
      <c r="DL229" s="31"/>
      <c r="DM229" s="31"/>
      <c r="DN229" s="31"/>
      <c r="DO229" s="31"/>
      <c r="DP229" s="31"/>
      <c r="DQ229" s="31"/>
      <c r="DR229" s="31"/>
      <c r="DS229" s="31"/>
      <c r="DT229" s="31"/>
      <c r="DU229" s="31"/>
      <c r="DV229" s="31"/>
      <c r="DW229" s="31"/>
      <c r="DX229" s="31"/>
      <c r="DY229" s="31"/>
      <c r="DZ229" s="31"/>
      <c r="EA229" s="31"/>
      <c r="EB229" s="31"/>
      <c r="EC229" s="31"/>
      <c r="ED229" s="31"/>
      <c r="EE229" s="31"/>
      <c r="EF229" s="31"/>
      <c r="EG229" s="31"/>
      <c r="EH229" s="31"/>
      <c r="EI229" s="31"/>
      <c r="EJ229" s="31"/>
      <c r="EK229" s="31"/>
      <c r="EL229" s="31"/>
      <c r="EM229" s="31"/>
      <c r="EN229" s="31"/>
      <c r="EO229" s="31"/>
      <c r="EP229" s="31"/>
      <c r="EQ229" s="31"/>
      <c r="ER229" s="31"/>
      <c r="ES229" s="31"/>
      <c r="ET229" s="31"/>
      <c r="EU229" s="31"/>
      <c r="EV229" s="31"/>
      <c r="EW229" s="31"/>
      <c r="EX229" s="31"/>
      <c r="EY229" s="31"/>
      <c r="EZ229" s="31"/>
      <c r="FA229" s="31"/>
      <c r="FB229" s="31"/>
      <c r="FC229" s="31"/>
      <c r="FD229" s="31"/>
      <c r="FE229" s="31"/>
      <c r="FF229" s="31"/>
      <c r="FG229" s="31"/>
      <c r="FH229" s="31"/>
      <c r="FI229" s="31"/>
      <c r="FJ229" s="31"/>
      <c r="FK229" s="31"/>
      <c r="FL229" s="31"/>
      <c r="FM229" s="31"/>
      <c r="FN229" s="31"/>
      <c r="FO229" s="31"/>
      <c r="FP229" s="31"/>
      <c r="FQ229" s="31"/>
      <c r="FR229" s="31"/>
      <c r="FS229" s="31"/>
      <c r="FT229" s="31"/>
      <c r="FU229" s="31"/>
      <c r="FV229" s="31"/>
      <c r="FW229" s="31"/>
      <c r="FX229" s="31"/>
      <c r="FY229" s="31"/>
      <c r="FZ229" s="31"/>
      <c r="GA229" s="31"/>
      <c r="GB229" s="31"/>
      <c r="GC229" s="31"/>
      <c r="GD229" s="31"/>
      <c r="GE229" s="31"/>
      <c r="GF229" s="31"/>
      <c r="GG229" s="31"/>
      <c r="GH229" s="31"/>
      <c r="GI229" s="31"/>
      <c r="GJ229" s="31"/>
      <c r="GK229" s="31"/>
      <c r="GL229" s="31"/>
      <c r="GM229" s="31"/>
      <c r="GN229" s="31"/>
      <c r="GO229" s="31"/>
      <c r="GP229" s="31"/>
      <c r="GQ229" s="31"/>
      <c r="GR229" s="31"/>
      <c r="GS229" s="31"/>
      <c r="GT229" s="31"/>
      <c r="GU229" s="31"/>
      <c r="GV229" s="31"/>
      <c r="GW229" s="31"/>
      <c r="GX229" s="31"/>
      <c r="GY229" s="31"/>
      <c r="GZ229" s="31"/>
      <c r="HA229" s="31"/>
      <c r="HB229" s="31"/>
      <c r="HC229" s="31"/>
      <c r="HD229" s="31"/>
      <c r="HE229" s="31"/>
      <c r="HF229" s="31"/>
      <c r="HG229" s="31"/>
      <c r="HH229" s="31"/>
      <c r="HI229" s="31"/>
      <c r="HJ229" s="31"/>
      <c r="HK229" s="31"/>
      <c r="HL229" s="31"/>
      <c r="HM229" s="31"/>
      <c r="HN229" s="31"/>
      <c r="HO229" s="31"/>
      <c r="HP229" s="31"/>
      <c r="HQ229" s="31"/>
      <c r="HR229" s="31"/>
      <c r="HS229" s="31"/>
      <c r="HT229" s="31"/>
      <c r="HU229" s="31"/>
      <c r="HV229" s="31"/>
      <c r="HW229" s="31"/>
      <c r="HX229" s="31"/>
      <c r="HY229" s="31"/>
      <c r="HZ229" s="31"/>
    </row>
    <row r="230" spans="1:234" ht="14.25" customHeight="1" x14ac:dyDescent="0.35">
      <c r="A230" s="88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30"/>
      <c r="U230" s="27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1"/>
      <c r="BD230" s="31"/>
      <c r="BE230" s="31"/>
      <c r="BF230" s="31"/>
      <c r="BG230" s="31"/>
      <c r="BH230" s="31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  <c r="BS230" s="31"/>
      <c r="BT230" s="31"/>
      <c r="BU230" s="31"/>
      <c r="BV230" s="31"/>
      <c r="BW230" s="31"/>
      <c r="BX230" s="31"/>
      <c r="BY230" s="31"/>
      <c r="BZ230" s="31"/>
      <c r="CA230" s="31"/>
      <c r="CB230" s="31"/>
      <c r="CC230" s="31"/>
      <c r="CD230" s="31"/>
      <c r="CE230" s="31"/>
      <c r="CF230" s="31"/>
      <c r="CG230" s="31"/>
      <c r="CH230" s="31"/>
      <c r="CI230" s="31"/>
      <c r="CJ230" s="31"/>
      <c r="CK230" s="31"/>
      <c r="CL230" s="31"/>
      <c r="CM230" s="31"/>
      <c r="CN230" s="31"/>
      <c r="CO230" s="31"/>
      <c r="CP230" s="31"/>
      <c r="CQ230" s="31"/>
      <c r="CR230" s="31"/>
      <c r="CS230" s="31"/>
      <c r="CT230" s="31"/>
      <c r="CU230" s="31"/>
      <c r="CV230" s="31"/>
      <c r="CW230" s="31"/>
      <c r="CX230" s="31"/>
      <c r="CY230" s="31"/>
      <c r="CZ230" s="31"/>
      <c r="DA230" s="31"/>
      <c r="DB230" s="31"/>
      <c r="DC230" s="31"/>
      <c r="DD230" s="31"/>
      <c r="DE230" s="31"/>
      <c r="DF230" s="31"/>
      <c r="DG230" s="31"/>
      <c r="DH230" s="31"/>
      <c r="DI230" s="31"/>
      <c r="DJ230" s="31"/>
      <c r="DK230" s="31"/>
      <c r="DL230" s="31"/>
      <c r="DM230" s="31"/>
      <c r="DN230" s="31"/>
      <c r="DO230" s="31"/>
      <c r="DP230" s="31"/>
      <c r="DQ230" s="31"/>
      <c r="DR230" s="31"/>
      <c r="DS230" s="31"/>
      <c r="DT230" s="31"/>
      <c r="DU230" s="31"/>
      <c r="DV230" s="31"/>
      <c r="DW230" s="31"/>
      <c r="DX230" s="31"/>
      <c r="DY230" s="31"/>
      <c r="DZ230" s="31"/>
      <c r="EA230" s="31"/>
      <c r="EB230" s="31"/>
      <c r="EC230" s="31"/>
      <c r="ED230" s="31"/>
      <c r="EE230" s="31"/>
      <c r="EF230" s="31"/>
      <c r="EG230" s="31"/>
      <c r="EH230" s="31"/>
      <c r="EI230" s="31"/>
      <c r="EJ230" s="31"/>
      <c r="EK230" s="31"/>
      <c r="EL230" s="31"/>
      <c r="EM230" s="31"/>
      <c r="EN230" s="31"/>
      <c r="EO230" s="31"/>
      <c r="EP230" s="31"/>
      <c r="EQ230" s="31"/>
      <c r="ER230" s="31"/>
      <c r="ES230" s="31"/>
      <c r="ET230" s="31"/>
      <c r="EU230" s="31"/>
      <c r="EV230" s="31"/>
      <c r="EW230" s="31"/>
      <c r="EX230" s="31"/>
      <c r="EY230" s="31"/>
      <c r="EZ230" s="31"/>
      <c r="FA230" s="31"/>
      <c r="FB230" s="31"/>
      <c r="FC230" s="31"/>
      <c r="FD230" s="31"/>
      <c r="FE230" s="31"/>
      <c r="FF230" s="31"/>
      <c r="FG230" s="31"/>
      <c r="FH230" s="31"/>
      <c r="FI230" s="31"/>
      <c r="FJ230" s="31"/>
      <c r="FK230" s="31"/>
      <c r="FL230" s="31"/>
      <c r="FM230" s="31"/>
      <c r="FN230" s="31"/>
      <c r="FO230" s="31"/>
      <c r="FP230" s="31"/>
      <c r="FQ230" s="31"/>
      <c r="FR230" s="31"/>
      <c r="FS230" s="31"/>
      <c r="FT230" s="31"/>
      <c r="FU230" s="31"/>
      <c r="FV230" s="31"/>
      <c r="FW230" s="31"/>
      <c r="FX230" s="31"/>
      <c r="FY230" s="31"/>
      <c r="FZ230" s="31"/>
      <c r="GA230" s="31"/>
      <c r="GB230" s="31"/>
      <c r="GC230" s="31"/>
      <c r="GD230" s="31"/>
      <c r="GE230" s="31"/>
      <c r="GF230" s="31"/>
      <c r="GG230" s="31"/>
      <c r="GH230" s="31"/>
      <c r="GI230" s="31"/>
      <c r="GJ230" s="31"/>
      <c r="GK230" s="31"/>
      <c r="GL230" s="31"/>
      <c r="GM230" s="31"/>
      <c r="GN230" s="31"/>
      <c r="GO230" s="31"/>
      <c r="GP230" s="31"/>
      <c r="GQ230" s="31"/>
      <c r="GR230" s="31"/>
      <c r="GS230" s="31"/>
      <c r="GT230" s="31"/>
      <c r="GU230" s="31"/>
      <c r="GV230" s="31"/>
      <c r="GW230" s="31"/>
      <c r="GX230" s="31"/>
      <c r="GY230" s="31"/>
      <c r="GZ230" s="31"/>
      <c r="HA230" s="31"/>
      <c r="HB230" s="31"/>
      <c r="HC230" s="31"/>
      <c r="HD230" s="31"/>
      <c r="HE230" s="31"/>
      <c r="HF230" s="31"/>
      <c r="HG230" s="31"/>
      <c r="HH230" s="31"/>
      <c r="HI230" s="31"/>
      <c r="HJ230" s="31"/>
      <c r="HK230" s="31"/>
      <c r="HL230" s="31"/>
      <c r="HM230" s="31"/>
      <c r="HN230" s="31"/>
      <c r="HO230" s="31"/>
      <c r="HP230" s="31"/>
      <c r="HQ230" s="31"/>
      <c r="HR230" s="31"/>
      <c r="HS230" s="31"/>
      <c r="HT230" s="31"/>
      <c r="HU230" s="31"/>
      <c r="HV230" s="31"/>
      <c r="HW230" s="31"/>
      <c r="HX230" s="31"/>
      <c r="HY230" s="31"/>
      <c r="HZ230" s="31"/>
    </row>
    <row r="231" spans="1:234" ht="14.25" customHeight="1" x14ac:dyDescent="0.35">
      <c r="A231" s="88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30"/>
      <c r="U231" s="27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  <c r="BD231" s="31"/>
      <c r="BE231" s="31"/>
      <c r="BF231" s="31"/>
      <c r="BG231" s="31"/>
      <c r="BH231" s="31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  <c r="BS231" s="31"/>
      <c r="BT231" s="31"/>
      <c r="BU231" s="31"/>
      <c r="BV231" s="31"/>
      <c r="BW231" s="31"/>
      <c r="BX231" s="31"/>
      <c r="BY231" s="31"/>
      <c r="BZ231" s="31"/>
      <c r="CA231" s="31"/>
      <c r="CB231" s="31"/>
      <c r="CC231" s="31"/>
      <c r="CD231" s="31"/>
      <c r="CE231" s="31"/>
      <c r="CF231" s="31"/>
      <c r="CG231" s="31"/>
      <c r="CH231" s="31"/>
      <c r="CI231" s="31"/>
      <c r="CJ231" s="31"/>
      <c r="CK231" s="31"/>
      <c r="CL231" s="31"/>
      <c r="CM231" s="31"/>
      <c r="CN231" s="31"/>
      <c r="CO231" s="31"/>
      <c r="CP231" s="31"/>
      <c r="CQ231" s="31"/>
      <c r="CR231" s="31"/>
      <c r="CS231" s="31"/>
      <c r="CT231" s="31"/>
      <c r="CU231" s="31"/>
      <c r="CV231" s="31"/>
      <c r="CW231" s="31"/>
      <c r="CX231" s="31"/>
      <c r="CY231" s="31"/>
      <c r="CZ231" s="31"/>
      <c r="DA231" s="31"/>
      <c r="DB231" s="31"/>
      <c r="DC231" s="31"/>
      <c r="DD231" s="31"/>
      <c r="DE231" s="31"/>
      <c r="DF231" s="31"/>
      <c r="DG231" s="31"/>
      <c r="DH231" s="31"/>
      <c r="DI231" s="31"/>
      <c r="DJ231" s="31"/>
      <c r="DK231" s="31"/>
      <c r="DL231" s="31"/>
      <c r="DM231" s="31"/>
      <c r="DN231" s="31"/>
      <c r="DO231" s="31"/>
      <c r="DP231" s="31"/>
      <c r="DQ231" s="31"/>
      <c r="DR231" s="31"/>
      <c r="DS231" s="31"/>
      <c r="DT231" s="31"/>
      <c r="DU231" s="31"/>
      <c r="DV231" s="31"/>
      <c r="DW231" s="31"/>
      <c r="DX231" s="31"/>
      <c r="DY231" s="31"/>
      <c r="DZ231" s="31"/>
      <c r="EA231" s="31"/>
      <c r="EB231" s="31"/>
      <c r="EC231" s="31"/>
      <c r="ED231" s="31"/>
      <c r="EE231" s="31"/>
      <c r="EF231" s="31"/>
      <c r="EG231" s="31"/>
      <c r="EH231" s="31"/>
      <c r="EI231" s="31"/>
      <c r="EJ231" s="31"/>
      <c r="EK231" s="31"/>
      <c r="EL231" s="31"/>
      <c r="EM231" s="31"/>
      <c r="EN231" s="31"/>
      <c r="EO231" s="31"/>
      <c r="EP231" s="31"/>
      <c r="EQ231" s="31"/>
      <c r="ER231" s="31"/>
      <c r="ES231" s="31"/>
      <c r="ET231" s="31"/>
      <c r="EU231" s="31"/>
      <c r="EV231" s="31"/>
      <c r="EW231" s="31"/>
      <c r="EX231" s="31"/>
      <c r="EY231" s="31"/>
      <c r="EZ231" s="31"/>
      <c r="FA231" s="31"/>
      <c r="FB231" s="31"/>
      <c r="FC231" s="31"/>
      <c r="FD231" s="31"/>
      <c r="FE231" s="31"/>
      <c r="FF231" s="31"/>
      <c r="FG231" s="31"/>
      <c r="FH231" s="31"/>
      <c r="FI231" s="31"/>
      <c r="FJ231" s="31"/>
      <c r="FK231" s="31"/>
      <c r="FL231" s="31"/>
      <c r="FM231" s="31"/>
      <c r="FN231" s="31"/>
      <c r="FO231" s="31"/>
      <c r="FP231" s="31"/>
      <c r="FQ231" s="31"/>
      <c r="FR231" s="31"/>
      <c r="FS231" s="31"/>
      <c r="FT231" s="31"/>
      <c r="FU231" s="31"/>
      <c r="FV231" s="31"/>
      <c r="FW231" s="31"/>
      <c r="FX231" s="31"/>
      <c r="FY231" s="31"/>
      <c r="FZ231" s="31"/>
      <c r="GA231" s="31"/>
      <c r="GB231" s="31"/>
      <c r="GC231" s="31"/>
      <c r="GD231" s="31"/>
      <c r="GE231" s="31"/>
      <c r="GF231" s="31"/>
      <c r="GG231" s="31"/>
      <c r="GH231" s="31"/>
      <c r="GI231" s="31"/>
      <c r="GJ231" s="31"/>
      <c r="GK231" s="31"/>
      <c r="GL231" s="31"/>
      <c r="GM231" s="31"/>
      <c r="GN231" s="31"/>
      <c r="GO231" s="31"/>
      <c r="GP231" s="31"/>
      <c r="GQ231" s="31"/>
      <c r="GR231" s="31"/>
      <c r="GS231" s="31"/>
      <c r="GT231" s="31"/>
      <c r="GU231" s="31"/>
      <c r="GV231" s="31"/>
      <c r="GW231" s="31"/>
      <c r="GX231" s="31"/>
      <c r="GY231" s="31"/>
      <c r="GZ231" s="31"/>
      <c r="HA231" s="31"/>
      <c r="HB231" s="31"/>
      <c r="HC231" s="31"/>
      <c r="HD231" s="31"/>
      <c r="HE231" s="31"/>
      <c r="HF231" s="31"/>
      <c r="HG231" s="31"/>
      <c r="HH231" s="31"/>
      <c r="HI231" s="31"/>
      <c r="HJ231" s="31"/>
      <c r="HK231" s="31"/>
      <c r="HL231" s="31"/>
      <c r="HM231" s="31"/>
      <c r="HN231" s="31"/>
      <c r="HO231" s="31"/>
      <c r="HP231" s="31"/>
      <c r="HQ231" s="31"/>
      <c r="HR231" s="31"/>
      <c r="HS231" s="31"/>
      <c r="HT231" s="31"/>
      <c r="HU231" s="31"/>
      <c r="HV231" s="31"/>
      <c r="HW231" s="31"/>
      <c r="HX231" s="31"/>
      <c r="HY231" s="31"/>
      <c r="HZ231" s="31"/>
    </row>
    <row r="232" spans="1:234" ht="14.25" customHeight="1" x14ac:dyDescent="0.35">
      <c r="A232" s="88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30"/>
      <c r="U232" s="27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  <c r="BD232" s="31"/>
      <c r="BE232" s="31"/>
      <c r="BF232" s="31"/>
      <c r="BG232" s="31"/>
      <c r="BH232" s="31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  <c r="BS232" s="31"/>
      <c r="BT232" s="31"/>
      <c r="BU232" s="31"/>
      <c r="BV232" s="31"/>
      <c r="BW232" s="31"/>
      <c r="BX232" s="31"/>
      <c r="BY232" s="31"/>
      <c r="BZ232" s="31"/>
      <c r="CA232" s="31"/>
      <c r="CB232" s="31"/>
      <c r="CC232" s="31"/>
      <c r="CD232" s="31"/>
      <c r="CE232" s="31"/>
      <c r="CF232" s="31"/>
      <c r="CG232" s="31"/>
      <c r="CH232" s="31"/>
      <c r="CI232" s="31"/>
      <c r="CJ232" s="31"/>
      <c r="CK232" s="31"/>
      <c r="CL232" s="31"/>
      <c r="CM232" s="31"/>
      <c r="CN232" s="31"/>
      <c r="CO232" s="31"/>
      <c r="CP232" s="31"/>
      <c r="CQ232" s="31"/>
      <c r="CR232" s="31"/>
      <c r="CS232" s="31"/>
      <c r="CT232" s="31"/>
      <c r="CU232" s="31"/>
      <c r="CV232" s="31"/>
      <c r="CW232" s="31"/>
      <c r="CX232" s="31"/>
      <c r="CY232" s="31"/>
      <c r="CZ232" s="31"/>
      <c r="DA232" s="31"/>
      <c r="DB232" s="31"/>
      <c r="DC232" s="31"/>
      <c r="DD232" s="31"/>
      <c r="DE232" s="31"/>
      <c r="DF232" s="31"/>
      <c r="DG232" s="31"/>
      <c r="DH232" s="31"/>
      <c r="DI232" s="31"/>
      <c r="DJ232" s="31"/>
      <c r="DK232" s="31"/>
      <c r="DL232" s="31"/>
      <c r="DM232" s="31"/>
      <c r="DN232" s="31"/>
      <c r="DO232" s="31"/>
      <c r="DP232" s="31"/>
      <c r="DQ232" s="31"/>
      <c r="DR232" s="31"/>
      <c r="DS232" s="31"/>
      <c r="DT232" s="31"/>
      <c r="DU232" s="31"/>
      <c r="DV232" s="31"/>
      <c r="DW232" s="31"/>
      <c r="DX232" s="31"/>
      <c r="DY232" s="31"/>
      <c r="DZ232" s="31"/>
      <c r="EA232" s="31"/>
      <c r="EB232" s="31"/>
      <c r="EC232" s="31"/>
      <c r="ED232" s="31"/>
      <c r="EE232" s="31"/>
      <c r="EF232" s="31"/>
      <c r="EG232" s="31"/>
      <c r="EH232" s="31"/>
      <c r="EI232" s="31"/>
      <c r="EJ232" s="31"/>
      <c r="EK232" s="31"/>
      <c r="EL232" s="31"/>
      <c r="EM232" s="31"/>
      <c r="EN232" s="31"/>
      <c r="EO232" s="31"/>
      <c r="EP232" s="31"/>
      <c r="EQ232" s="31"/>
      <c r="ER232" s="31"/>
      <c r="ES232" s="31"/>
      <c r="ET232" s="31"/>
      <c r="EU232" s="31"/>
      <c r="EV232" s="31"/>
      <c r="EW232" s="31"/>
      <c r="EX232" s="31"/>
      <c r="EY232" s="31"/>
      <c r="EZ232" s="31"/>
      <c r="FA232" s="31"/>
      <c r="FB232" s="31"/>
      <c r="FC232" s="31"/>
      <c r="FD232" s="31"/>
      <c r="FE232" s="31"/>
      <c r="FF232" s="31"/>
      <c r="FG232" s="31"/>
      <c r="FH232" s="31"/>
      <c r="FI232" s="31"/>
      <c r="FJ232" s="31"/>
      <c r="FK232" s="31"/>
      <c r="FL232" s="31"/>
      <c r="FM232" s="31"/>
      <c r="FN232" s="31"/>
      <c r="FO232" s="31"/>
      <c r="FP232" s="31"/>
      <c r="FQ232" s="31"/>
      <c r="FR232" s="31"/>
      <c r="FS232" s="31"/>
      <c r="FT232" s="31"/>
      <c r="FU232" s="31"/>
      <c r="FV232" s="31"/>
      <c r="FW232" s="31"/>
      <c r="FX232" s="31"/>
      <c r="FY232" s="31"/>
      <c r="FZ232" s="31"/>
      <c r="GA232" s="31"/>
      <c r="GB232" s="31"/>
      <c r="GC232" s="31"/>
      <c r="GD232" s="31"/>
      <c r="GE232" s="31"/>
      <c r="GF232" s="31"/>
      <c r="GG232" s="31"/>
      <c r="GH232" s="31"/>
      <c r="GI232" s="31"/>
      <c r="GJ232" s="31"/>
      <c r="GK232" s="31"/>
      <c r="GL232" s="31"/>
      <c r="GM232" s="31"/>
      <c r="GN232" s="31"/>
      <c r="GO232" s="31"/>
      <c r="GP232" s="31"/>
      <c r="GQ232" s="31"/>
      <c r="GR232" s="31"/>
      <c r="GS232" s="31"/>
      <c r="GT232" s="31"/>
      <c r="GU232" s="31"/>
      <c r="GV232" s="31"/>
      <c r="GW232" s="31"/>
      <c r="GX232" s="31"/>
      <c r="GY232" s="31"/>
      <c r="GZ232" s="31"/>
      <c r="HA232" s="31"/>
      <c r="HB232" s="31"/>
      <c r="HC232" s="31"/>
      <c r="HD232" s="31"/>
      <c r="HE232" s="31"/>
      <c r="HF232" s="31"/>
      <c r="HG232" s="31"/>
      <c r="HH232" s="31"/>
      <c r="HI232" s="31"/>
      <c r="HJ232" s="31"/>
      <c r="HK232" s="31"/>
      <c r="HL232" s="31"/>
      <c r="HM232" s="31"/>
      <c r="HN232" s="31"/>
      <c r="HO232" s="31"/>
      <c r="HP232" s="31"/>
      <c r="HQ232" s="31"/>
      <c r="HR232" s="31"/>
      <c r="HS232" s="31"/>
      <c r="HT232" s="31"/>
      <c r="HU232" s="31"/>
      <c r="HV232" s="31"/>
      <c r="HW232" s="31"/>
      <c r="HX232" s="31"/>
      <c r="HY232" s="31"/>
      <c r="HZ232" s="31"/>
    </row>
    <row r="233" spans="1:234" ht="14.25" customHeight="1" x14ac:dyDescent="0.35">
      <c r="A233" s="88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30"/>
      <c r="U233" s="27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  <c r="BD233" s="31"/>
      <c r="BE233" s="31"/>
      <c r="BF233" s="31"/>
      <c r="BG233" s="31"/>
      <c r="BH233" s="31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  <c r="BS233" s="31"/>
      <c r="BT233" s="31"/>
      <c r="BU233" s="31"/>
      <c r="BV233" s="31"/>
      <c r="BW233" s="31"/>
      <c r="BX233" s="31"/>
      <c r="BY233" s="31"/>
      <c r="BZ233" s="31"/>
      <c r="CA233" s="31"/>
      <c r="CB233" s="31"/>
      <c r="CC233" s="31"/>
      <c r="CD233" s="31"/>
      <c r="CE233" s="31"/>
      <c r="CF233" s="31"/>
      <c r="CG233" s="31"/>
      <c r="CH233" s="31"/>
      <c r="CI233" s="31"/>
      <c r="CJ233" s="31"/>
      <c r="CK233" s="31"/>
      <c r="CL233" s="31"/>
      <c r="CM233" s="31"/>
      <c r="CN233" s="31"/>
      <c r="CO233" s="31"/>
      <c r="CP233" s="31"/>
      <c r="CQ233" s="31"/>
      <c r="CR233" s="31"/>
      <c r="CS233" s="31"/>
      <c r="CT233" s="31"/>
      <c r="CU233" s="31"/>
      <c r="CV233" s="31"/>
      <c r="CW233" s="31"/>
      <c r="CX233" s="31"/>
      <c r="CY233" s="31"/>
      <c r="CZ233" s="31"/>
      <c r="DA233" s="31"/>
      <c r="DB233" s="31"/>
      <c r="DC233" s="31"/>
      <c r="DD233" s="31"/>
      <c r="DE233" s="31"/>
      <c r="DF233" s="31"/>
      <c r="DG233" s="31"/>
      <c r="DH233" s="31"/>
      <c r="DI233" s="31"/>
      <c r="DJ233" s="31"/>
      <c r="DK233" s="31"/>
      <c r="DL233" s="31"/>
      <c r="DM233" s="31"/>
      <c r="DN233" s="31"/>
      <c r="DO233" s="31"/>
      <c r="DP233" s="31"/>
      <c r="DQ233" s="31"/>
      <c r="DR233" s="31"/>
      <c r="DS233" s="31"/>
      <c r="DT233" s="31"/>
      <c r="DU233" s="31"/>
      <c r="DV233" s="31"/>
      <c r="DW233" s="31"/>
      <c r="DX233" s="31"/>
      <c r="DY233" s="31"/>
      <c r="DZ233" s="31"/>
      <c r="EA233" s="31"/>
      <c r="EB233" s="31"/>
      <c r="EC233" s="31"/>
      <c r="ED233" s="31"/>
      <c r="EE233" s="31"/>
      <c r="EF233" s="31"/>
      <c r="EG233" s="31"/>
      <c r="EH233" s="31"/>
      <c r="EI233" s="31"/>
      <c r="EJ233" s="31"/>
      <c r="EK233" s="31"/>
      <c r="EL233" s="31"/>
      <c r="EM233" s="31"/>
      <c r="EN233" s="31"/>
      <c r="EO233" s="31"/>
      <c r="EP233" s="31"/>
      <c r="EQ233" s="31"/>
      <c r="ER233" s="31"/>
      <c r="ES233" s="31"/>
      <c r="ET233" s="31"/>
      <c r="EU233" s="31"/>
      <c r="EV233" s="31"/>
      <c r="EW233" s="31"/>
      <c r="EX233" s="31"/>
      <c r="EY233" s="31"/>
      <c r="EZ233" s="31"/>
      <c r="FA233" s="31"/>
      <c r="FB233" s="31"/>
      <c r="FC233" s="31"/>
      <c r="FD233" s="31"/>
      <c r="FE233" s="31"/>
      <c r="FF233" s="31"/>
      <c r="FG233" s="31"/>
      <c r="FH233" s="31"/>
      <c r="FI233" s="31"/>
      <c r="FJ233" s="31"/>
      <c r="FK233" s="31"/>
      <c r="FL233" s="31"/>
      <c r="FM233" s="31"/>
      <c r="FN233" s="31"/>
      <c r="FO233" s="31"/>
      <c r="FP233" s="31"/>
      <c r="FQ233" s="31"/>
      <c r="FR233" s="31"/>
      <c r="FS233" s="31"/>
      <c r="FT233" s="31"/>
      <c r="FU233" s="31"/>
      <c r="FV233" s="31"/>
      <c r="FW233" s="31"/>
      <c r="FX233" s="31"/>
      <c r="FY233" s="31"/>
      <c r="FZ233" s="31"/>
      <c r="GA233" s="31"/>
      <c r="GB233" s="31"/>
      <c r="GC233" s="31"/>
      <c r="GD233" s="31"/>
      <c r="GE233" s="31"/>
      <c r="GF233" s="31"/>
      <c r="GG233" s="31"/>
      <c r="GH233" s="31"/>
      <c r="GI233" s="31"/>
      <c r="GJ233" s="31"/>
      <c r="GK233" s="31"/>
      <c r="GL233" s="31"/>
      <c r="GM233" s="31"/>
      <c r="GN233" s="31"/>
      <c r="GO233" s="31"/>
      <c r="GP233" s="31"/>
      <c r="GQ233" s="31"/>
      <c r="GR233" s="31"/>
      <c r="GS233" s="31"/>
      <c r="GT233" s="31"/>
      <c r="GU233" s="31"/>
      <c r="GV233" s="31"/>
      <c r="GW233" s="31"/>
      <c r="GX233" s="31"/>
      <c r="GY233" s="31"/>
      <c r="GZ233" s="31"/>
      <c r="HA233" s="31"/>
      <c r="HB233" s="31"/>
      <c r="HC233" s="31"/>
      <c r="HD233" s="31"/>
      <c r="HE233" s="31"/>
      <c r="HF233" s="31"/>
      <c r="HG233" s="31"/>
      <c r="HH233" s="31"/>
      <c r="HI233" s="31"/>
      <c r="HJ233" s="31"/>
      <c r="HK233" s="31"/>
      <c r="HL233" s="31"/>
      <c r="HM233" s="31"/>
      <c r="HN233" s="31"/>
      <c r="HO233" s="31"/>
      <c r="HP233" s="31"/>
      <c r="HQ233" s="31"/>
      <c r="HR233" s="31"/>
      <c r="HS233" s="31"/>
      <c r="HT233" s="31"/>
      <c r="HU233" s="31"/>
      <c r="HV233" s="31"/>
      <c r="HW233" s="31"/>
      <c r="HX233" s="31"/>
      <c r="HY233" s="31"/>
      <c r="HZ233" s="31"/>
    </row>
    <row r="234" spans="1:234" ht="14.25" customHeight="1" x14ac:dyDescent="0.35">
      <c r="A234" s="88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30"/>
      <c r="U234" s="27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  <c r="BC234" s="31"/>
      <c r="BD234" s="31"/>
      <c r="BE234" s="31"/>
      <c r="BF234" s="31"/>
      <c r="BG234" s="31"/>
      <c r="BH234" s="31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  <c r="BS234" s="31"/>
      <c r="BT234" s="31"/>
      <c r="BU234" s="31"/>
      <c r="BV234" s="31"/>
      <c r="BW234" s="31"/>
      <c r="BX234" s="31"/>
      <c r="BY234" s="31"/>
      <c r="BZ234" s="31"/>
      <c r="CA234" s="31"/>
      <c r="CB234" s="31"/>
      <c r="CC234" s="31"/>
      <c r="CD234" s="31"/>
      <c r="CE234" s="31"/>
      <c r="CF234" s="31"/>
      <c r="CG234" s="31"/>
      <c r="CH234" s="31"/>
      <c r="CI234" s="31"/>
      <c r="CJ234" s="31"/>
      <c r="CK234" s="31"/>
      <c r="CL234" s="31"/>
      <c r="CM234" s="31"/>
      <c r="CN234" s="31"/>
      <c r="CO234" s="31"/>
      <c r="CP234" s="31"/>
      <c r="CQ234" s="31"/>
      <c r="CR234" s="31"/>
      <c r="CS234" s="31"/>
      <c r="CT234" s="31"/>
      <c r="CU234" s="31"/>
      <c r="CV234" s="31"/>
      <c r="CW234" s="31"/>
      <c r="CX234" s="31"/>
      <c r="CY234" s="31"/>
      <c r="CZ234" s="31"/>
      <c r="DA234" s="31"/>
      <c r="DB234" s="31"/>
      <c r="DC234" s="31"/>
      <c r="DD234" s="31"/>
      <c r="DE234" s="31"/>
      <c r="DF234" s="31"/>
      <c r="DG234" s="31"/>
      <c r="DH234" s="31"/>
      <c r="DI234" s="31"/>
      <c r="DJ234" s="31"/>
      <c r="DK234" s="31"/>
      <c r="DL234" s="31"/>
      <c r="DM234" s="31"/>
      <c r="DN234" s="31"/>
      <c r="DO234" s="31"/>
      <c r="DP234" s="31"/>
      <c r="DQ234" s="31"/>
      <c r="DR234" s="31"/>
      <c r="DS234" s="31"/>
      <c r="DT234" s="31"/>
      <c r="DU234" s="31"/>
      <c r="DV234" s="31"/>
      <c r="DW234" s="31"/>
      <c r="DX234" s="31"/>
      <c r="DY234" s="31"/>
      <c r="DZ234" s="31"/>
      <c r="EA234" s="31"/>
      <c r="EB234" s="31"/>
      <c r="EC234" s="31"/>
      <c r="ED234" s="31"/>
      <c r="EE234" s="31"/>
      <c r="EF234" s="31"/>
      <c r="EG234" s="31"/>
      <c r="EH234" s="31"/>
      <c r="EI234" s="31"/>
      <c r="EJ234" s="31"/>
      <c r="EK234" s="31"/>
      <c r="EL234" s="31"/>
      <c r="EM234" s="31"/>
      <c r="EN234" s="31"/>
      <c r="EO234" s="31"/>
      <c r="EP234" s="31"/>
      <c r="EQ234" s="31"/>
      <c r="ER234" s="31"/>
      <c r="ES234" s="31"/>
      <c r="ET234" s="31"/>
      <c r="EU234" s="31"/>
      <c r="EV234" s="31"/>
      <c r="EW234" s="31"/>
      <c r="EX234" s="31"/>
      <c r="EY234" s="31"/>
      <c r="EZ234" s="31"/>
      <c r="FA234" s="31"/>
      <c r="FB234" s="31"/>
      <c r="FC234" s="31"/>
      <c r="FD234" s="31"/>
      <c r="FE234" s="31"/>
      <c r="FF234" s="31"/>
      <c r="FG234" s="31"/>
      <c r="FH234" s="31"/>
      <c r="FI234" s="31"/>
      <c r="FJ234" s="31"/>
      <c r="FK234" s="31"/>
      <c r="FL234" s="31"/>
      <c r="FM234" s="31"/>
      <c r="FN234" s="31"/>
      <c r="FO234" s="31"/>
      <c r="FP234" s="31"/>
      <c r="FQ234" s="31"/>
      <c r="FR234" s="31"/>
      <c r="FS234" s="31"/>
      <c r="FT234" s="31"/>
      <c r="FU234" s="31"/>
      <c r="FV234" s="31"/>
      <c r="FW234" s="31"/>
      <c r="FX234" s="31"/>
      <c r="FY234" s="31"/>
      <c r="FZ234" s="31"/>
      <c r="GA234" s="31"/>
      <c r="GB234" s="31"/>
      <c r="GC234" s="31"/>
      <c r="GD234" s="31"/>
      <c r="GE234" s="31"/>
      <c r="GF234" s="31"/>
      <c r="GG234" s="31"/>
      <c r="GH234" s="31"/>
      <c r="GI234" s="31"/>
      <c r="GJ234" s="31"/>
      <c r="GK234" s="31"/>
      <c r="GL234" s="31"/>
      <c r="GM234" s="31"/>
      <c r="GN234" s="31"/>
      <c r="GO234" s="31"/>
      <c r="GP234" s="31"/>
      <c r="GQ234" s="31"/>
      <c r="GR234" s="31"/>
      <c r="GS234" s="31"/>
      <c r="GT234" s="31"/>
      <c r="GU234" s="31"/>
      <c r="GV234" s="31"/>
      <c r="GW234" s="31"/>
      <c r="GX234" s="31"/>
      <c r="GY234" s="31"/>
      <c r="GZ234" s="31"/>
      <c r="HA234" s="31"/>
      <c r="HB234" s="31"/>
      <c r="HC234" s="31"/>
      <c r="HD234" s="31"/>
      <c r="HE234" s="31"/>
      <c r="HF234" s="31"/>
      <c r="HG234" s="31"/>
      <c r="HH234" s="31"/>
      <c r="HI234" s="31"/>
      <c r="HJ234" s="31"/>
      <c r="HK234" s="31"/>
      <c r="HL234" s="31"/>
      <c r="HM234" s="31"/>
      <c r="HN234" s="31"/>
      <c r="HO234" s="31"/>
      <c r="HP234" s="31"/>
      <c r="HQ234" s="31"/>
      <c r="HR234" s="31"/>
      <c r="HS234" s="31"/>
      <c r="HT234" s="31"/>
      <c r="HU234" s="31"/>
      <c r="HV234" s="31"/>
      <c r="HW234" s="31"/>
      <c r="HX234" s="31"/>
      <c r="HY234" s="31"/>
      <c r="HZ234" s="31"/>
    </row>
    <row r="235" spans="1:234" ht="14.25" customHeight="1" x14ac:dyDescent="0.35">
      <c r="A235" s="88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30"/>
      <c r="U235" s="27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  <c r="BB235" s="31"/>
      <c r="BC235" s="31"/>
      <c r="BD235" s="31"/>
      <c r="BE235" s="31"/>
      <c r="BF235" s="31"/>
      <c r="BG235" s="31"/>
      <c r="BH235" s="31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  <c r="BS235" s="31"/>
      <c r="BT235" s="31"/>
      <c r="BU235" s="31"/>
      <c r="BV235" s="31"/>
      <c r="BW235" s="31"/>
      <c r="BX235" s="31"/>
      <c r="BY235" s="31"/>
      <c r="BZ235" s="31"/>
      <c r="CA235" s="31"/>
      <c r="CB235" s="31"/>
      <c r="CC235" s="31"/>
      <c r="CD235" s="31"/>
      <c r="CE235" s="31"/>
      <c r="CF235" s="31"/>
      <c r="CG235" s="31"/>
      <c r="CH235" s="31"/>
      <c r="CI235" s="31"/>
      <c r="CJ235" s="31"/>
      <c r="CK235" s="31"/>
      <c r="CL235" s="31"/>
      <c r="CM235" s="31"/>
      <c r="CN235" s="31"/>
      <c r="CO235" s="31"/>
      <c r="CP235" s="31"/>
      <c r="CQ235" s="31"/>
      <c r="CR235" s="31"/>
      <c r="CS235" s="31"/>
      <c r="CT235" s="31"/>
      <c r="CU235" s="31"/>
      <c r="CV235" s="31"/>
      <c r="CW235" s="31"/>
      <c r="CX235" s="31"/>
      <c r="CY235" s="31"/>
      <c r="CZ235" s="31"/>
      <c r="DA235" s="31"/>
      <c r="DB235" s="31"/>
      <c r="DC235" s="31"/>
      <c r="DD235" s="31"/>
      <c r="DE235" s="31"/>
      <c r="DF235" s="31"/>
      <c r="DG235" s="31"/>
      <c r="DH235" s="31"/>
      <c r="DI235" s="31"/>
      <c r="DJ235" s="31"/>
      <c r="DK235" s="31"/>
      <c r="DL235" s="31"/>
      <c r="DM235" s="31"/>
      <c r="DN235" s="31"/>
      <c r="DO235" s="31"/>
      <c r="DP235" s="31"/>
      <c r="DQ235" s="31"/>
      <c r="DR235" s="31"/>
      <c r="DS235" s="31"/>
      <c r="DT235" s="31"/>
      <c r="DU235" s="31"/>
      <c r="DV235" s="31"/>
      <c r="DW235" s="31"/>
      <c r="DX235" s="31"/>
      <c r="DY235" s="31"/>
      <c r="DZ235" s="31"/>
      <c r="EA235" s="31"/>
      <c r="EB235" s="31"/>
      <c r="EC235" s="31"/>
      <c r="ED235" s="31"/>
      <c r="EE235" s="31"/>
      <c r="EF235" s="31"/>
      <c r="EG235" s="31"/>
      <c r="EH235" s="31"/>
      <c r="EI235" s="31"/>
      <c r="EJ235" s="31"/>
      <c r="EK235" s="31"/>
      <c r="EL235" s="31"/>
      <c r="EM235" s="31"/>
      <c r="EN235" s="31"/>
      <c r="EO235" s="31"/>
      <c r="EP235" s="31"/>
      <c r="EQ235" s="31"/>
      <c r="ER235" s="31"/>
      <c r="ES235" s="31"/>
      <c r="ET235" s="31"/>
      <c r="EU235" s="31"/>
      <c r="EV235" s="31"/>
      <c r="EW235" s="31"/>
      <c r="EX235" s="31"/>
      <c r="EY235" s="31"/>
      <c r="EZ235" s="31"/>
      <c r="FA235" s="31"/>
      <c r="FB235" s="31"/>
      <c r="FC235" s="31"/>
      <c r="FD235" s="31"/>
      <c r="FE235" s="31"/>
      <c r="FF235" s="31"/>
      <c r="FG235" s="31"/>
      <c r="FH235" s="31"/>
      <c r="FI235" s="31"/>
      <c r="FJ235" s="31"/>
      <c r="FK235" s="31"/>
      <c r="FL235" s="31"/>
      <c r="FM235" s="31"/>
      <c r="FN235" s="31"/>
      <c r="FO235" s="31"/>
      <c r="FP235" s="31"/>
      <c r="FQ235" s="31"/>
      <c r="FR235" s="31"/>
      <c r="FS235" s="31"/>
      <c r="FT235" s="31"/>
      <c r="FU235" s="31"/>
      <c r="FV235" s="31"/>
      <c r="FW235" s="31"/>
      <c r="FX235" s="31"/>
      <c r="FY235" s="31"/>
      <c r="FZ235" s="31"/>
      <c r="GA235" s="31"/>
      <c r="GB235" s="31"/>
      <c r="GC235" s="31"/>
      <c r="GD235" s="31"/>
      <c r="GE235" s="31"/>
      <c r="GF235" s="31"/>
      <c r="GG235" s="31"/>
      <c r="GH235" s="31"/>
      <c r="GI235" s="31"/>
      <c r="GJ235" s="31"/>
      <c r="GK235" s="31"/>
      <c r="GL235" s="31"/>
      <c r="GM235" s="31"/>
      <c r="GN235" s="31"/>
      <c r="GO235" s="31"/>
      <c r="GP235" s="31"/>
      <c r="GQ235" s="31"/>
      <c r="GR235" s="31"/>
      <c r="GS235" s="31"/>
      <c r="GT235" s="31"/>
      <c r="GU235" s="31"/>
      <c r="GV235" s="31"/>
      <c r="GW235" s="31"/>
      <c r="GX235" s="31"/>
      <c r="GY235" s="31"/>
      <c r="GZ235" s="31"/>
      <c r="HA235" s="31"/>
      <c r="HB235" s="31"/>
      <c r="HC235" s="31"/>
      <c r="HD235" s="31"/>
      <c r="HE235" s="31"/>
      <c r="HF235" s="31"/>
      <c r="HG235" s="31"/>
      <c r="HH235" s="31"/>
      <c r="HI235" s="31"/>
      <c r="HJ235" s="31"/>
      <c r="HK235" s="31"/>
      <c r="HL235" s="31"/>
      <c r="HM235" s="31"/>
      <c r="HN235" s="31"/>
      <c r="HO235" s="31"/>
      <c r="HP235" s="31"/>
      <c r="HQ235" s="31"/>
      <c r="HR235" s="31"/>
      <c r="HS235" s="31"/>
      <c r="HT235" s="31"/>
      <c r="HU235" s="31"/>
      <c r="HV235" s="31"/>
      <c r="HW235" s="31"/>
      <c r="HX235" s="31"/>
      <c r="HY235" s="31"/>
      <c r="HZ235" s="31"/>
    </row>
    <row r="236" spans="1:234" ht="14.25" customHeight="1" x14ac:dyDescent="0.35">
      <c r="A236" s="88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30"/>
      <c r="U236" s="27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  <c r="BB236" s="31"/>
      <c r="BC236" s="31"/>
      <c r="BD236" s="31"/>
      <c r="BE236" s="31"/>
      <c r="BF236" s="31"/>
      <c r="BG236" s="31"/>
      <c r="BH236" s="31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  <c r="BS236" s="31"/>
      <c r="BT236" s="31"/>
      <c r="BU236" s="31"/>
      <c r="BV236" s="31"/>
      <c r="BW236" s="31"/>
      <c r="BX236" s="31"/>
      <c r="BY236" s="31"/>
      <c r="BZ236" s="31"/>
      <c r="CA236" s="31"/>
      <c r="CB236" s="31"/>
      <c r="CC236" s="31"/>
      <c r="CD236" s="31"/>
      <c r="CE236" s="31"/>
      <c r="CF236" s="31"/>
      <c r="CG236" s="31"/>
      <c r="CH236" s="31"/>
      <c r="CI236" s="31"/>
      <c r="CJ236" s="31"/>
      <c r="CK236" s="31"/>
      <c r="CL236" s="31"/>
      <c r="CM236" s="31"/>
      <c r="CN236" s="31"/>
      <c r="CO236" s="31"/>
      <c r="CP236" s="31"/>
      <c r="CQ236" s="31"/>
      <c r="CR236" s="31"/>
      <c r="CS236" s="31"/>
      <c r="CT236" s="31"/>
      <c r="CU236" s="31"/>
      <c r="CV236" s="31"/>
      <c r="CW236" s="31"/>
      <c r="CX236" s="31"/>
      <c r="CY236" s="31"/>
      <c r="CZ236" s="31"/>
      <c r="DA236" s="31"/>
      <c r="DB236" s="31"/>
      <c r="DC236" s="31"/>
      <c r="DD236" s="31"/>
      <c r="DE236" s="31"/>
      <c r="DF236" s="31"/>
      <c r="DG236" s="31"/>
      <c r="DH236" s="31"/>
      <c r="DI236" s="31"/>
      <c r="DJ236" s="31"/>
      <c r="DK236" s="31"/>
      <c r="DL236" s="31"/>
      <c r="DM236" s="31"/>
      <c r="DN236" s="31"/>
      <c r="DO236" s="31"/>
      <c r="DP236" s="31"/>
      <c r="DQ236" s="31"/>
      <c r="DR236" s="31"/>
      <c r="DS236" s="31"/>
      <c r="DT236" s="31"/>
      <c r="DU236" s="31"/>
      <c r="DV236" s="31"/>
      <c r="DW236" s="31"/>
      <c r="DX236" s="31"/>
      <c r="DY236" s="31"/>
      <c r="DZ236" s="31"/>
      <c r="EA236" s="31"/>
      <c r="EB236" s="31"/>
      <c r="EC236" s="31"/>
      <c r="ED236" s="31"/>
      <c r="EE236" s="31"/>
      <c r="EF236" s="31"/>
      <c r="EG236" s="31"/>
      <c r="EH236" s="31"/>
      <c r="EI236" s="31"/>
      <c r="EJ236" s="31"/>
      <c r="EK236" s="31"/>
      <c r="EL236" s="31"/>
      <c r="EM236" s="31"/>
      <c r="EN236" s="31"/>
      <c r="EO236" s="31"/>
      <c r="EP236" s="31"/>
      <c r="EQ236" s="31"/>
      <c r="ER236" s="31"/>
      <c r="ES236" s="31"/>
      <c r="ET236" s="31"/>
      <c r="EU236" s="31"/>
      <c r="EV236" s="31"/>
      <c r="EW236" s="31"/>
      <c r="EX236" s="31"/>
      <c r="EY236" s="31"/>
      <c r="EZ236" s="31"/>
      <c r="FA236" s="31"/>
      <c r="FB236" s="31"/>
      <c r="FC236" s="31"/>
      <c r="FD236" s="31"/>
      <c r="FE236" s="31"/>
      <c r="FF236" s="31"/>
      <c r="FG236" s="31"/>
      <c r="FH236" s="31"/>
      <c r="FI236" s="31"/>
      <c r="FJ236" s="31"/>
      <c r="FK236" s="31"/>
      <c r="FL236" s="31"/>
      <c r="FM236" s="31"/>
      <c r="FN236" s="31"/>
      <c r="FO236" s="31"/>
      <c r="FP236" s="31"/>
      <c r="FQ236" s="31"/>
      <c r="FR236" s="31"/>
      <c r="FS236" s="31"/>
      <c r="FT236" s="31"/>
      <c r="FU236" s="31"/>
      <c r="FV236" s="31"/>
      <c r="FW236" s="31"/>
      <c r="FX236" s="31"/>
      <c r="FY236" s="31"/>
      <c r="FZ236" s="31"/>
      <c r="GA236" s="31"/>
      <c r="GB236" s="31"/>
      <c r="GC236" s="31"/>
      <c r="GD236" s="31"/>
      <c r="GE236" s="31"/>
      <c r="GF236" s="31"/>
      <c r="GG236" s="31"/>
      <c r="GH236" s="31"/>
      <c r="GI236" s="31"/>
      <c r="GJ236" s="31"/>
      <c r="GK236" s="31"/>
      <c r="GL236" s="31"/>
      <c r="GM236" s="31"/>
      <c r="GN236" s="31"/>
      <c r="GO236" s="31"/>
      <c r="GP236" s="31"/>
      <c r="GQ236" s="31"/>
      <c r="GR236" s="31"/>
      <c r="GS236" s="31"/>
      <c r="GT236" s="31"/>
      <c r="GU236" s="31"/>
      <c r="GV236" s="31"/>
      <c r="GW236" s="31"/>
      <c r="GX236" s="31"/>
      <c r="GY236" s="31"/>
      <c r="GZ236" s="31"/>
      <c r="HA236" s="31"/>
      <c r="HB236" s="31"/>
      <c r="HC236" s="31"/>
      <c r="HD236" s="31"/>
      <c r="HE236" s="31"/>
      <c r="HF236" s="31"/>
      <c r="HG236" s="31"/>
      <c r="HH236" s="31"/>
      <c r="HI236" s="31"/>
      <c r="HJ236" s="31"/>
      <c r="HK236" s="31"/>
      <c r="HL236" s="31"/>
      <c r="HM236" s="31"/>
      <c r="HN236" s="31"/>
      <c r="HO236" s="31"/>
      <c r="HP236" s="31"/>
      <c r="HQ236" s="31"/>
      <c r="HR236" s="31"/>
      <c r="HS236" s="31"/>
      <c r="HT236" s="31"/>
      <c r="HU236" s="31"/>
      <c r="HV236" s="31"/>
      <c r="HW236" s="31"/>
      <c r="HX236" s="31"/>
      <c r="HY236" s="31"/>
      <c r="HZ236" s="31"/>
    </row>
    <row r="237" spans="1:234" ht="14.25" customHeight="1" x14ac:dyDescent="0.35">
      <c r="A237" s="88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30"/>
      <c r="U237" s="27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  <c r="BD237" s="31"/>
      <c r="BE237" s="31"/>
      <c r="BF237" s="31"/>
      <c r="BG237" s="31"/>
      <c r="BH237" s="31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  <c r="BS237" s="31"/>
      <c r="BT237" s="31"/>
      <c r="BU237" s="31"/>
      <c r="BV237" s="31"/>
      <c r="BW237" s="31"/>
      <c r="BX237" s="31"/>
      <c r="BY237" s="31"/>
      <c r="BZ237" s="31"/>
      <c r="CA237" s="31"/>
      <c r="CB237" s="31"/>
      <c r="CC237" s="31"/>
      <c r="CD237" s="31"/>
      <c r="CE237" s="31"/>
      <c r="CF237" s="31"/>
      <c r="CG237" s="31"/>
      <c r="CH237" s="31"/>
      <c r="CI237" s="31"/>
      <c r="CJ237" s="31"/>
      <c r="CK237" s="31"/>
      <c r="CL237" s="31"/>
      <c r="CM237" s="31"/>
      <c r="CN237" s="31"/>
      <c r="CO237" s="31"/>
      <c r="CP237" s="31"/>
      <c r="CQ237" s="31"/>
      <c r="CR237" s="31"/>
      <c r="CS237" s="31"/>
      <c r="CT237" s="31"/>
      <c r="CU237" s="31"/>
      <c r="CV237" s="31"/>
      <c r="CW237" s="31"/>
      <c r="CX237" s="31"/>
      <c r="CY237" s="31"/>
      <c r="CZ237" s="31"/>
      <c r="DA237" s="31"/>
      <c r="DB237" s="31"/>
      <c r="DC237" s="31"/>
      <c r="DD237" s="31"/>
      <c r="DE237" s="31"/>
      <c r="DF237" s="31"/>
      <c r="DG237" s="31"/>
      <c r="DH237" s="31"/>
      <c r="DI237" s="31"/>
      <c r="DJ237" s="31"/>
      <c r="DK237" s="31"/>
      <c r="DL237" s="31"/>
      <c r="DM237" s="31"/>
      <c r="DN237" s="31"/>
      <c r="DO237" s="31"/>
      <c r="DP237" s="31"/>
      <c r="DQ237" s="31"/>
      <c r="DR237" s="31"/>
      <c r="DS237" s="31"/>
      <c r="DT237" s="31"/>
      <c r="DU237" s="31"/>
      <c r="DV237" s="31"/>
      <c r="DW237" s="31"/>
      <c r="DX237" s="31"/>
      <c r="DY237" s="31"/>
      <c r="DZ237" s="31"/>
      <c r="EA237" s="31"/>
      <c r="EB237" s="31"/>
      <c r="EC237" s="31"/>
      <c r="ED237" s="31"/>
      <c r="EE237" s="31"/>
      <c r="EF237" s="31"/>
      <c r="EG237" s="31"/>
      <c r="EH237" s="31"/>
      <c r="EI237" s="31"/>
      <c r="EJ237" s="31"/>
      <c r="EK237" s="31"/>
      <c r="EL237" s="31"/>
      <c r="EM237" s="31"/>
      <c r="EN237" s="31"/>
      <c r="EO237" s="31"/>
      <c r="EP237" s="31"/>
      <c r="EQ237" s="31"/>
      <c r="ER237" s="31"/>
      <c r="ES237" s="31"/>
      <c r="ET237" s="31"/>
      <c r="EU237" s="31"/>
      <c r="EV237" s="31"/>
      <c r="EW237" s="31"/>
      <c r="EX237" s="31"/>
      <c r="EY237" s="31"/>
      <c r="EZ237" s="31"/>
      <c r="FA237" s="31"/>
      <c r="FB237" s="31"/>
      <c r="FC237" s="31"/>
      <c r="FD237" s="31"/>
      <c r="FE237" s="31"/>
      <c r="FF237" s="31"/>
      <c r="FG237" s="31"/>
      <c r="FH237" s="31"/>
      <c r="FI237" s="31"/>
      <c r="FJ237" s="31"/>
      <c r="FK237" s="31"/>
      <c r="FL237" s="31"/>
      <c r="FM237" s="31"/>
      <c r="FN237" s="31"/>
      <c r="FO237" s="31"/>
      <c r="FP237" s="31"/>
      <c r="FQ237" s="31"/>
      <c r="FR237" s="31"/>
      <c r="FS237" s="31"/>
      <c r="FT237" s="31"/>
      <c r="FU237" s="31"/>
      <c r="FV237" s="31"/>
      <c r="FW237" s="31"/>
      <c r="FX237" s="31"/>
      <c r="FY237" s="31"/>
      <c r="FZ237" s="31"/>
      <c r="GA237" s="31"/>
      <c r="GB237" s="31"/>
      <c r="GC237" s="31"/>
      <c r="GD237" s="31"/>
      <c r="GE237" s="31"/>
      <c r="GF237" s="31"/>
      <c r="GG237" s="31"/>
      <c r="GH237" s="31"/>
      <c r="GI237" s="31"/>
      <c r="GJ237" s="31"/>
      <c r="GK237" s="31"/>
      <c r="GL237" s="31"/>
      <c r="GM237" s="31"/>
      <c r="GN237" s="31"/>
      <c r="GO237" s="31"/>
      <c r="GP237" s="31"/>
      <c r="GQ237" s="31"/>
      <c r="GR237" s="31"/>
      <c r="GS237" s="31"/>
      <c r="GT237" s="31"/>
      <c r="GU237" s="31"/>
      <c r="GV237" s="31"/>
      <c r="GW237" s="31"/>
      <c r="GX237" s="31"/>
      <c r="GY237" s="31"/>
      <c r="GZ237" s="31"/>
      <c r="HA237" s="31"/>
      <c r="HB237" s="31"/>
      <c r="HC237" s="31"/>
      <c r="HD237" s="31"/>
      <c r="HE237" s="31"/>
      <c r="HF237" s="31"/>
      <c r="HG237" s="31"/>
      <c r="HH237" s="31"/>
      <c r="HI237" s="31"/>
      <c r="HJ237" s="31"/>
      <c r="HK237" s="31"/>
      <c r="HL237" s="31"/>
      <c r="HM237" s="31"/>
      <c r="HN237" s="31"/>
      <c r="HO237" s="31"/>
      <c r="HP237" s="31"/>
      <c r="HQ237" s="31"/>
      <c r="HR237" s="31"/>
      <c r="HS237" s="31"/>
      <c r="HT237" s="31"/>
      <c r="HU237" s="31"/>
      <c r="HV237" s="31"/>
      <c r="HW237" s="31"/>
      <c r="HX237" s="31"/>
      <c r="HY237" s="31"/>
      <c r="HZ237" s="31"/>
    </row>
    <row r="238" spans="1:234" ht="14.25" customHeight="1" x14ac:dyDescent="0.35">
      <c r="A238" s="88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30"/>
      <c r="U238" s="27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  <c r="BD238" s="31"/>
      <c r="BE238" s="31"/>
      <c r="BF238" s="31"/>
      <c r="BG238" s="31"/>
      <c r="BH238" s="31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  <c r="BS238" s="31"/>
      <c r="BT238" s="31"/>
      <c r="BU238" s="31"/>
      <c r="BV238" s="31"/>
      <c r="BW238" s="31"/>
      <c r="BX238" s="31"/>
      <c r="BY238" s="31"/>
      <c r="BZ238" s="31"/>
      <c r="CA238" s="31"/>
      <c r="CB238" s="31"/>
      <c r="CC238" s="31"/>
      <c r="CD238" s="31"/>
      <c r="CE238" s="31"/>
      <c r="CF238" s="31"/>
      <c r="CG238" s="31"/>
      <c r="CH238" s="31"/>
      <c r="CI238" s="31"/>
      <c r="CJ238" s="31"/>
      <c r="CK238" s="31"/>
      <c r="CL238" s="31"/>
      <c r="CM238" s="31"/>
      <c r="CN238" s="31"/>
      <c r="CO238" s="31"/>
      <c r="CP238" s="31"/>
      <c r="CQ238" s="31"/>
      <c r="CR238" s="31"/>
      <c r="CS238" s="31"/>
      <c r="CT238" s="31"/>
      <c r="CU238" s="31"/>
      <c r="CV238" s="31"/>
      <c r="CW238" s="31"/>
      <c r="CX238" s="31"/>
      <c r="CY238" s="31"/>
      <c r="CZ238" s="31"/>
      <c r="DA238" s="31"/>
      <c r="DB238" s="31"/>
      <c r="DC238" s="31"/>
      <c r="DD238" s="31"/>
      <c r="DE238" s="31"/>
      <c r="DF238" s="31"/>
      <c r="DG238" s="31"/>
      <c r="DH238" s="31"/>
      <c r="DI238" s="31"/>
      <c r="DJ238" s="31"/>
      <c r="DK238" s="31"/>
      <c r="DL238" s="31"/>
      <c r="DM238" s="31"/>
      <c r="DN238" s="31"/>
      <c r="DO238" s="31"/>
      <c r="DP238" s="31"/>
      <c r="DQ238" s="31"/>
      <c r="DR238" s="31"/>
      <c r="DS238" s="31"/>
      <c r="DT238" s="31"/>
      <c r="DU238" s="31"/>
      <c r="DV238" s="31"/>
      <c r="DW238" s="31"/>
      <c r="DX238" s="31"/>
      <c r="DY238" s="31"/>
      <c r="DZ238" s="31"/>
      <c r="EA238" s="31"/>
      <c r="EB238" s="31"/>
      <c r="EC238" s="31"/>
      <c r="ED238" s="31"/>
      <c r="EE238" s="31"/>
      <c r="EF238" s="31"/>
      <c r="EG238" s="31"/>
      <c r="EH238" s="31"/>
      <c r="EI238" s="31"/>
      <c r="EJ238" s="31"/>
      <c r="EK238" s="31"/>
      <c r="EL238" s="31"/>
      <c r="EM238" s="31"/>
      <c r="EN238" s="31"/>
      <c r="EO238" s="31"/>
      <c r="EP238" s="31"/>
      <c r="EQ238" s="31"/>
      <c r="ER238" s="31"/>
      <c r="ES238" s="31"/>
      <c r="ET238" s="31"/>
      <c r="EU238" s="31"/>
      <c r="EV238" s="31"/>
      <c r="EW238" s="31"/>
      <c r="EX238" s="31"/>
      <c r="EY238" s="31"/>
      <c r="EZ238" s="31"/>
      <c r="FA238" s="31"/>
      <c r="FB238" s="31"/>
      <c r="FC238" s="31"/>
      <c r="FD238" s="31"/>
      <c r="FE238" s="31"/>
      <c r="FF238" s="31"/>
      <c r="FG238" s="31"/>
      <c r="FH238" s="31"/>
      <c r="FI238" s="31"/>
      <c r="FJ238" s="31"/>
      <c r="FK238" s="31"/>
      <c r="FL238" s="31"/>
      <c r="FM238" s="31"/>
      <c r="FN238" s="31"/>
      <c r="FO238" s="31"/>
      <c r="FP238" s="31"/>
      <c r="FQ238" s="31"/>
      <c r="FR238" s="31"/>
      <c r="FS238" s="31"/>
      <c r="FT238" s="31"/>
      <c r="FU238" s="31"/>
      <c r="FV238" s="31"/>
      <c r="FW238" s="31"/>
      <c r="FX238" s="31"/>
      <c r="FY238" s="31"/>
      <c r="FZ238" s="31"/>
      <c r="GA238" s="31"/>
      <c r="GB238" s="31"/>
      <c r="GC238" s="31"/>
      <c r="GD238" s="31"/>
      <c r="GE238" s="31"/>
      <c r="GF238" s="31"/>
      <c r="GG238" s="31"/>
      <c r="GH238" s="31"/>
      <c r="GI238" s="31"/>
      <c r="GJ238" s="31"/>
      <c r="GK238" s="31"/>
      <c r="GL238" s="31"/>
      <c r="GM238" s="31"/>
      <c r="GN238" s="31"/>
      <c r="GO238" s="31"/>
      <c r="GP238" s="31"/>
      <c r="GQ238" s="31"/>
      <c r="GR238" s="31"/>
      <c r="GS238" s="31"/>
      <c r="GT238" s="31"/>
      <c r="GU238" s="31"/>
      <c r="GV238" s="31"/>
      <c r="GW238" s="31"/>
      <c r="GX238" s="31"/>
      <c r="GY238" s="31"/>
      <c r="GZ238" s="31"/>
      <c r="HA238" s="31"/>
      <c r="HB238" s="31"/>
      <c r="HC238" s="31"/>
      <c r="HD238" s="31"/>
      <c r="HE238" s="31"/>
      <c r="HF238" s="31"/>
      <c r="HG238" s="31"/>
      <c r="HH238" s="31"/>
      <c r="HI238" s="31"/>
      <c r="HJ238" s="31"/>
      <c r="HK238" s="31"/>
      <c r="HL238" s="31"/>
      <c r="HM238" s="31"/>
      <c r="HN238" s="31"/>
      <c r="HO238" s="31"/>
      <c r="HP238" s="31"/>
      <c r="HQ238" s="31"/>
      <c r="HR238" s="31"/>
      <c r="HS238" s="31"/>
      <c r="HT238" s="31"/>
      <c r="HU238" s="31"/>
      <c r="HV238" s="31"/>
      <c r="HW238" s="31"/>
      <c r="HX238" s="31"/>
      <c r="HY238" s="31"/>
      <c r="HZ238" s="31"/>
    </row>
    <row r="239" spans="1:234" ht="14.25" customHeight="1" x14ac:dyDescent="0.35">
      <c r="A239" s="88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30"/>
      <c r="U239" s="27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  <c r="BD239" s="31"/>
      <c r="BE239" s="31"/>
      <c r="BF239" s="31"/>
      <c r="BG239" s="31"/>
      <c r="BH239" s="31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  <c r="BS239" s="31"/>
      <c r="BT239" s="31"/>
      <c r="BU239" s="31"/>
      <c r="BV239" s="31"/>
      <c r="BW239" s="31"/>
      <c r="BX239" s="31"/>
      <c r="BY239" s="31"/>
      <c r="BZ239" s="31"/>
      <c r="CA239" s="31"/>
      <c r="CB239" s="31"/>
      <c r="CC239" s="31"/>
      <c r="CD239" s="31"/>
      <c r="CE239" s="31"/>
      <c r="CF239" s="31"/>
      <c r="CG239" s="31"/>
      <c r="CH239" s="31"/>
      <c r="CI239" s="31"/>
      <c r="CJ239" s="31"/>
      <c r="CK239" s="31"/>
      <c r="CL239" s="31"/>
      <c r="CM239" s="31"/>
      <c r="CN239" s="31"/>
      <c r="CO239" s="31"/>
      <c r="CP239" s="31"/>
      <c r="CQ239" s="31"/>
      <c r="CR239" s="31"/>
      <c r="CS239" s="31"/>
      <c r="CT239" s="31"/>
      <c r="CU239" s="31"/>
      <c r="CV239" s="31"/>
      <c r="CW239" s="31"/>
      <c r="CX239" s="31"/>
      <c r="CY239" s="31"/>
      <c r="CZ239" s="31"/>
      <c r="DA239" s="31"/>
      <c r="DB239" s="31"/>
      <c r="DC239" s="31"/>
      <c r="DD239" s="31"/>
      <c r="DE239" s="31"/>
      <c r="DF239" s="31"/>
      <c r="DG239" s="31"/>
      <c r="DH239" s="31"/>
      <c r="DI239" s="31"/>
      <c r="DJ239" s="31"/>
      <c r="DK239" s="31"/>
      <c r="DL239" s="31"/>
      <c r="DM239" s="31"/>
      <c r="DN239" s="31"/>
      <c r="DO239" s="31"/>
      <c r="DP239" s="31"/>
      <c r="DQ239" s="31"/>
      <c r="DR239" s="31"/>
      <c r="DS239" s="31"/>
      <c r="DT239" s="31"/>
      <c r="DU239" s="31"/>
      <c r="DV239" s="31"/>
      <c r="DW239" s="31"/>
      <c r="DX239" s="31"/>
      <c r="DY239" s="31"/>
      <c r="DZ239" s="31"/>
      <c r="EA239" s="31"/>
      <c r="EB239" s="31"/>
      <c r="EC239" s="31"/>
      <c r="ED239" s="31"/>
      <c r="EE239" s="31"/>
      <c r="EF239" s="31"/>
      <c r="EG239" s="31"/>
      <c r="EH239" s="31"/>
      <c r="EI239" s="31"/>
      <c r="EJ239" s="31"/>
      <c r="EK239" s="31"/>
      <c r="EL239" s="31"/>
      <c r="EM239" s="31"/>
      <c r="EN239" s="31"/>
      <c r="EO239" s="31"/>
      <c r="EP239" s="31"/>
      <c r="EQ239" s="31"/>
      <c r="ER239" s="31"/>
      <c r="ES239" s="31"/>
      <c r="ET239" s="31"/>
      <c r="EU239" s="31"/>
      <c r="EV239" s="31"/>
      <c r="EW239" s="31"/>
      <c r="EX239" s="31"/>
      <c r="EY239" s="31"/>
      <c r="EZ239" s="31"/>
      <c r="FA239" s="31"/>
      <c r="FB239" s="31"/>
      <c r="FC239" s="31"/>
      <c r="FD239" s="31"/>
      <c r="FE239" s="31"/>
      <c r="FF239" s="31"/>
      <c r="FG239" s="31"/>
      <c r="FH239" s="31"/>
      <c r="FI239" s="31"/>
      <c r="FJ239" s="31"/>
      <c r="FK239" s="31"/>
      <c r="FL239" s="31"/>
      <c r="FM239" s="31"/>
      <c r="FN239" s="31"/>
      <c r="FO239" s="31"/>
      <c r="FP239" s="31"/>
      <c r="FQ239" s="31"/>
      <c r="FR239" s="31"/>
      <c r="FS239" s="31"/>
      <c r="FT239" s="31"/>
      <c r="FU239" s="31"/>
      <c r="FV239" s="31"/>
      <c r="FW239" s="31"/>
      <c r="FX239" s="31"/>
      <c r="FY239" s="31"/>
      <c r="FZ239" s="31"/>
      <c r="GA239" s="31"/>
      <c r="GB239" s="31"/>
      <c r="GC239" s="31"/>
      <c r="GD239" s="31"/>
      <c r="GE239" s="31"/>
      <c r="GF239" s="31"/>
      <c r="GG239" s="31"/>
      <c r="GH239" s="31"/>
      <c r="GI239" s="31"/>
      <c r="GJ239" s="31"/>
      <c r="GK239" s="31"/>
      <c r="GL239" s="31"/>
      <c r="GM239" s="31"/>
      <c r="GN239" s="31"/>
      <c r="GO239" s="31"/>
      <c r="GP239" s="31"/>
      <c r="GQ239" s="31"/>
      <c r="GR239" s="31"/>
      <c r="GS239" s="31"/>
      <c r="GT239" s="31"/>
      <c r="GU239" s="31"/>
      <c r="GV239" s="31"/>
      <c r="GW239" s="31"/>
      <c r="GX239" s="31"/>
      <c r="GY239" s="31"/>
      <c r="GZ239" s="31"/>
      <c r="HA239" s="31"/>
      <c r="HB239" s="31"/>
      <c r="HC239" s="31"/>
      <c r="HD239" s="31"/>
      <c r="HE239" s="31"/>
      <c r="HF239" s="31"/>
      <c r="HG239" s="31"/>
      <c r="HH239" s="31"/>
      <c r="HI239" s="31"/>
      <c r="HJ239" s="31"/>
      <c r="HK239" s="31"/>
      <c r="HL239" s="31"/>
      <c r="HM239" s="31"/>
      <c r="HN239" s="31"/>
      <c r="HO239" s="31"/>
      <c r="HP239" s="31"/>
      <c r="HQ239" s="31"/>
      <c r="HR239" s="31"/>
      <c r="HS239" s="31"/>
      <c r="HT239" s="31"/>
      <c r="HU239" s="31"/>
      <c r="HV239" s="31"/>
      <c r="HW239" s="31"/>
      <c r="HX239" s="31"/>
      <c r="HY239" s="31"/>
      <c r="HZ239" s="31"/>
    </row>
    <row r="240" spans="1:234" ht="14.25" customHeight="1" x14ac:dyDescent="0.35">
      <c r="A240" s="88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30"/>
      <c r="U240" s="27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  <c r="BB240" s="31"/>
      <c r="BC240" s="31"/>
      <c r="BD240" s="31"/>
      <c r="BE240" s="31"/>
      <c r="BF240" s="31"/>
      <c r="BG240" s="31"/>
      <c r="BH240" s="31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  <c r="BS240" s="31"/>
      <c r="BT240" s="31"/>
      <c r="BU240" s="31"/>
      <c r="BV240" s="31"/>
      <c r="BW240" s="31"/>
      <c r="BX240" s="31"/>
      <c r="BY240" s="31"/>
      <c r="BZ240" s="31"/>
      <c r="CA240" s="31"/>
      <c r="CB240" s="31"/>
      <c r="CC240" s="31"/>
      <c r="CD240" s="31"/>
      <c r="CE240" s="31"/>
      <c r="CF240" s="31"/>
      <c r="CG240" s="31"/>
      <c r="CH240" s="31"/>
      <c r="CI240" s="31"/>
      <c r="CJ240" s="31"/>
      <c r="CK240" s="31"/>
      <c r="CL240" s="31"/>
      <c r="CM240" s="31"/>
      <c r="CN240" s="31"/>
      <c r="CO240" s="31"/>
      <c r="CP240" s="31"/>
      <c r="CQ240" s="31"/>
      <c r="CR240" s="31"/>
      <c r="CS240" s="31"/>
      <c r="CT240" s="31"/>
      <c r="CU240" s="31"/>
      <c r="CV240" s="31"/>
      <c r="CW240" s="31"/>
      <c r="CX240" s="31"/>
      <c r="CY240" s="31"/>
      <c r="CZ240" s="31"/>
      <c r="DA240" s="31"/>
      <c r="DB240" s="31"/>
      <c r="DC240" s="31"/>
      <c r="DD240" s="31"/>
      <c r="DE240" s="31"/>
      <c r="DF240" s="31"/>
      <c r="DG240" s="31"/>
      <c r="DH240" s="31"/>
      <c r="DI240" s="31"/>
      <c r="DJ240" s="31"/>
      <c r="DK240" s="31"/>
      <c r="DL240" s="31"/>
      <c r="DM240" s="31"/>
      <c r="DN240" s="31"/>
      <c r="DO240" s="31"/>
      <c r="DP240" s="31"/>
      <c r="DQ240" s="31"/>
      <c r="DR240" s="31"/>
      <c r="DS240" s="31"/>
      <c r="DT240" s="31"/>
      <c r="DU240" s="31"/>
      <c r="DV240" s="31"/>
      <c r="DW240" s="31"/>
      <c r="DX240" s="31"/>
      <c r="DY240" s="31"/>
      <c r="DZ240" s="31"/>
      <c r="EA240" s="31"/>
      <c r="EB240" s="31"/>
      <c r="EC240" s="31"/>
      <c r="ED240" s="31"/>
      <c r="EE240" s="31"/>
      <c r="EF240" s="31"/>
      <c r="EG240" s="31"/>
      <c r="EH240" s="31"/>
      <c r="EI240" s="31"/>
      <c r="EJ240" s="31"/>
      <c r="EK240" s="31"/>
      <c r="EL240" s="31"/>
      <c r="EM240" s="31"/>
      <c r="EN240" s="31"/>
      <c r="EO240" s="31"/>
      <c r="EP240" s="31"/>
      <c r="EQ240" s="31"/>
      <c r="ER240" s="31"/>
      <c r="ES240" s="31"/>
      <c r="ET240" s="31"/>
      <c r="EU240" s="31"/>
      <c r="EV240" s="31"/>
      <c r="EW240" s="31"/>
      <c r="EX240" s="31"/>
      <c r="EY240" s="31"/>
      <c r="EZ240" s="31"/>
      <c r="FA240" s="31"/>
      <c r="FB240" s="31"/>
      <c r="FC240" s="31"/>
      <c r="FD240" s="31"/>
      <c r="FE240" s="31"/>
      <c r="FF240" s="31"/>
      <c r="FG240" s="31"/>
      <c r="FH240" s="31"/>
      <c r="FI240" s="31"/>
      <c r="FJ240" s="31"/>
      <c r="FK240" s="31"/>
      <c r="FL240" s="31"/>
      <c r="FM240" s="31"/>
      <c r="FN240" s="31"/>
      <c r="FO240" s="31"/>
      <c r="FP240" s="31"/>
      <c r="FQ240" s="31"/>
      <c r="FR240" s="31"/>
      <c r="FS240" s="31"/>
      <c r="FT240" s="31"/>
      <c r="FU240" s="31"/>
      <c r="FV240" s="31"/>
      <c r="FW240" s="31"/>
      <c r="FX240" s="31"/>
      <c r="FY240" s="31"/>
      <c r="FZ240" s="31"/>
      <c r="GA240" s="31"/>
      <c r="GB240" s="31"/>
      <c r="GC240" s="31"/>
      <c r="GD240" s="31"/>
      <c r="GE240" s="31"/>
      <c r="GF240" s="31"/>
      <c r="GG240" s="31"/>
      <c r="GH240" s="31"/>
      <c r="GI240" s="31"/>
      <c r="GJ240" s="31"/>
      <c r="GK240" s="31"/>
      <c r="GL240" s="31"/>
      <c r="GM240" s="31"/>
      <c r="GN240" s="31"/>
      <c r="GO240" s="31"/>
      <c r="GP240" s="31"/>
      <c r="GQ240" s="31"/>
      <c r="GR240" s="31"/>
      <c r="GS240" s="31"/>
      <c r="GT240" s="31"/>
      <c r="GU240" s="31"/>
      <c r="GV240" s="31"/>
      <c r="GW240" s="31"/>
      <c r="GX240" s="31"/>
      <c r="GY240" s="31"/>
      <c r="GZ240" s="31"/>
      <c r="HA240" s="31"/>
      <c r="HB240" s="31"/>
      <c r="HC240" s="31"/>
      <c r="HD240" s="31"/>
      <c r="HE240" s="31"/>
      <c r="HF240" s="31"/>
      <c r="HG240" s="31"/>
      <c r="HH240" s="31"/>
      <c r="HI240" s="31"/>
      <c r="HJ240" s="31"/>
      <c r="HK240" s="31"/>
      <c r="HL240" s="31"/>
      <c r="HM240" s="31"/>
      <c r="HN240" s="31"/>
      <c r="HO240" s="31"/>
      <c r="HP240" s="31"/>
      <c r="HQ240" s="31"/>
      <c r="HR240" s="31"/>
      <c r="HS240" s="31"/>
      <c r="HT240" s="31"/>
      <c r="HU240" s="31"/>
      <c r="HV240" s="31"/>
      <c r="HW240" s="31"/>
      <c r="HX240" s="31"/>
      <c r="HY240" s="31"/>
      <c r="HZ240" s="31"/>
    </row>
    <row r="241" spans="1:234" ht="14.25" customHeight="1" x14ac:dyDescent="0.35">
      <c r="A241" s="88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30"/>
      <c r="U241" s="27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  <c r="BD241" s="31"/>
      <c r="BE241" s="31"/>
      <c r="BF241" s="31"/>
      <c r="BG241" s="31"/>
      <c r="BH241" s="31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  <c r="BS241" s="31"/>
      <c r="BT241" s="31"/>
      <c r="BU241" s="31"/>
      <c r="BV241" s="31"/>
      <c r="BW241" s="31"/>
      <c r="BX241" s="31"/>
      <c r="BY241" s="31"/>
      <c r="BZ241" s="31"/>
      <c r="CA241" s="31"/>
      <c r="CB241" s="31"/>
      <c r="CC241" s="31"/>
      <c r="CD241" s="31"/>
      <c r="CE241" s="31"/>
      <c r="CF241" s="31"/>
      <c r="CG241" s="31"/>
      <c r="CH241" s="31"/>
      <c r="CI241" s="31"/>
      <c r="CJ241" s="31"/>
      <c r="CK241" s="31"/>
      <c r="CL241" s="31"/>
      <c r="CM241" s="31"/>
      <c r="CN241" s="31"/>
      <c r="CO241" s="31"/>
      <c r="CP241" s="31"/>
      <c r="CQ241" s="31"/>
      <c r="CR241" s="31"/>
      <c r="CS241" s="31"/>
      <c r="CT241" s="31"/>
      <c r="CU241" s="31"/>
      <c r="CV241" s="31"/>
      <c r="CW241" s="31"/>
      <c r="CX241" s="31"/>
      <c r="CY241" s="31"/>
      <c r="CZ241" s="31"/>
      <c r="DA241" s="31"/>
      <c r="DB241" s="31"/>
      <c r="DC241" s="31"/>
      <c r="DD241" s="31"/>
      <c r="DE241" s="31"/>
      <c r="DF241" s="31"/>
      <c r="DG241" s="31"/>
      <c r="DH241" s="31"/>
      <c r="DI241" s="31"/>
      <c r="DJ241" s="31"/>
      <c r="DK241" s="31"/>
      <c r="DL241" s="31"/>
      <c r="DM241" s="31"/>
      <c r="DN241" s="31"/>
      <c r="DO241" s="31"/>
      <c r="DP241" s="31"/>
      <c r="DQ241" s="31"/>
      <c r="DR241" s="31"/>
      <c r="DS241" s="31"/>
      <c r="DT241" s="31"/>
      <c r="DU241" s="31"/>
      <c r="DV241" s="31"/>
      <c r="DW241" s="31"/>
      <c r="DX241" s="31"/>
      <c r="DY241" s="31"/>
      <c r="DZ241" s="31"/>
      <c r="EA241" s="31"/>
      <c r="EB241" s="31"/>
      <c r="EC241" s="31"/>
      <c r="ED241" s="31"/>
      <c r="EE241" s="31"/>
      <c r="EF241" s="31"/>
      <c r="EG241" s="31"/>
      <c r="EH241" s="31"/>
      <c r="EI241" s="31"/>
      <c r="EJ241" s="31"/>
      <c r="EK241" s="31"/>
      <c r="EL241" s="31"/>
      <c r="EM241" s="31"/>
      <c r="EN241" s="31"/>
      <c r="EO241" s="31"/>
      <c r="EP241" s="31"/>
      <c r="EQ241" s="31"/>
      <c r="ER241" s="31"/>
      <c r="ES241" s="31"/>
      <c r="ET241" s="31"/>
      <c r="EU241" s="31"/>
      <c r="EV241" s="31"/>
      <c r="EW241" s="31"/>
      <c r="EX241" s="31"/>
      <c r="EY241" s="31"/>
      <c r="EZ241" s="31"/>
      <c r="FA241" s="31"/>
      <c r="FB241" s="31"/>
      <c r="FC241" s="31"/>
      <c r="FD241" s="31"/>
      <c r="FE241" s="31"/>
      <c r="FF241" s="31"/>
      <c r="FG241" s="31"/>
      <c r="FH241" s="31"/>
      <c r="FI241" s="31"/>
      <c r="FJ241" s="31"/>
      <c r="FK241" s="31"/>
      <c r="FL241" s="31"/>
      <c r="FM241" s="31"/>
      <c r="FN241" s="31"/>
      <c r="FO241" s="31"/>
      <c r="FP241" s="31"/>
      <c r="FQ241" s="31"/>
      <c r="FR241" s="31"/>
      <c r="FS241" s="31"/>
      <c r="FT241" s="31"/>
      <c r="FU241" s="31"/>
      <c r="FV241" s="31"/>
      <c r="FW241" s="31"/>
      <c r="FX241" s="31"/>
      <c r="FY241" s="31"/>
      <c r="FZ241" s="31"/>
      <c r="GA241" s="31"/>
      <c r="GB241" s="31"/>
      <c r="GC241" s="31"/>
      <c r="GD241" s="31"/>
      <c r="GE241" s="31"/>
      <c r="GF241" s="31"/>
      <c r="GG241" s="31"/>
      <c r="GH241" s="31"/>
      <c r="GI241" s="31"/>
      <c r="GJ241" s="31"/>
      <c r="GK241" s="31"/>
      <c r="GL241" s="31"/>
      <c r="GM241" s="31"/>
      <c r="GN241" s="31"/>
      <c r="GO241" s="31"/>
      <c r="GP241" s="31"/>
      <c r="GQ241" s="31"/>
      <c r="GR241" s="31"/>
      <c r="GS241" s="31"/>
      <c r="GT241" s="31"/>
      <c r="GU241" s="31"/>
      <c r="GV241" s="31"/>
      <c r="GW241" s="31"/>
      <c r="GX241" s="31"/>
      <c r="GY241" s="31"/>
      <c r="GZ241" s="31"/>
      <c r="HA241" s="31"/>
      <c r="HB241" s="31"/>
      <c r="HC241" s="31"/>
      <c r="HD241" s="31"/>
      <c r="HE241" s="31"/>
      <c r="HF241" s="31"/>
      <c r="HG241" s="31"/>
      <c r="HH241" s="31"/>
      <c r="HI241" s="31"/>
      <c r="HJ241" s="31"/>
      <c r="HK241" s="31"/>
      <c r="HL241" s="31"/>
      <c r="HM241" s="31"/>
      <c r="HN241" s="31"/>
      <c r="HO241" s="31"/>
      <c r="HP241" s="31"/>
      <c r="HQ241" s="31"/>
      <c r="HR241" s="31"/>
      <c r="HS241" s="31"/>
      <c r="HT241" s="31"/>
      <c r="HU241" s="31"/>
      <c r="HV241" s="31"/>
      <c r="HW241" s="31"/>
      <c r="HX241" s="31"/>
      <c r="HY241" s="31"/>
      <c r="HZ241" s="31"/>
    </row>
    <row r="242" spans="1:234" ht="14.25" customHeight="1" x14ac:dyDescent="0.35">
      <c r="A242" s="88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30"/>
      <c r="U242" s="27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  <c r="BD242" s="31"/>
      <c r="BE242" s="31"/>
      <c r="BF242" s="31"/>
      <c r="BG242" s="31"/>
      <c r="BH242" s="31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  <c r="BS242" s="31"/>
      <c r="BT242" s="31"/>
      <c r="BU242" s="31"/>
      <c r="BV242" s="31"/>
      <c r="BW242" s="31"/>
      <c r="BX242" s="31"/>
      <c r="BY242" s="31"/>
      <c r="BZ242" s="31"/>
      <c r="CA242" s="31"/>
      <c r="CB242" s="31"/>
      <c r="CC242" s="31"/>
      <c r="CD242" s="31"/>
      <c r="CE242" s="31"/>
      <c r="CF242" s="31"/>
      <c r="CG242" s="31"/>
      <c r="CH242" s="31"/>
      <c r="CI242" s="31"/>
      <c r="CJ242" s="31"/>
      <c r="CK242" s="31"/>
      <c r="CL242" s="31"/>
      <c r="CM242" s="31"/>
      <c r="CN242" s="31"/>
      <c r="CO242" s="31"/>
      <c r="CP242" s="31"/>
      <c r="CQ242" s="31"/>
      <c r="CR242" s="31"/>
      <c r="CS242" s="31"/>
      <c r="CT242" s="31"/>
      <c r="CU242" s="31"/>
      <c r="CV242" s="31"/>
      <c r="CW242" s="31"/>
      <c r="CX242" s="31"/>
      <c r="CY242" s="31"/>
      <c r="CZ242" s="31"/>
      <c r="DA242" s="31"/>
      <c r="DB242" s="31"/>
      <c r="DC242" s="31"/>
      <c r="DD242" s="31"/>
      <c r="DE242" s="31"/>
      <c r="DF242" s="31"/>
      <c r="DG242" s="31"/>
      <c r="DH242" s="31"/>
      <c r="DI242" s="31"/>
      <c r="DJ242" s="31"/>
      <c r="DK242" s="31"/>
      <c r="DL242" s="31"/>
      <c r="DM242" s="31"/>
      <c r="DN242" s="31"/>
      <c r="DO242" s="31"/>
      <c r="DP242" s="31"/>
      <c r="DQ242" s="31"/>
      <c r="DR242" s="31"/>
      <c r="DS242" s="31"/>
      <c r="DT242" s="31"/>
      <c r="DU242" s="31"/>
      <c r="DV242" s="31"/>
      <c r="DW242" s="31"/>
      <c r="DX242" s="31"/>
      <c r="DY242" s="31"/>
      <c r="DZ242" s="31"/>
      <c r="EA242" s="31"/>
      <c r="EB242" s="31"/>
      <c r="EC242" s="31"/>
      <c r="ED242" s="31"/>
      <c r="EE242" s="31"/>
      <c r="EF242" s="31"/>
      <c r="EG242" s="31"/>
      <c r="EH242" s="31"/>
      <c r="EI242" s="31"/>
      <c r="EJ242" s="31"/>
      <c r="EK242" s="31"/>
      <c r="EL242" s="31"/>
      <c r="EM242" s="31"/>
      <c r="EN242" s="31"/>
      <c r="EO242" s="31"/>
      <c r="EP242" s="31"/>
      <c r="EQ242" s="31"/>
      <c r="ER242" s="31"/>
      <c r="ES242" s="31"/>
      <c r="ET242" s="31"/>
      <c r="EU242" s="31"/>
      <c r="EV242" s="31"/>
      <c r="EW242" s="31"/>
      <c r="EX242" s="31"/>
      <c r="EY242" s="31"/>
      <c r="EZ242" s="31"/>
      <c r="FA242" s="31"/>
      <c r="FB242" s="31"/>
      <c r="FC242" s="31"/>
      <c r="FD242" s="31"/>
      <c r="FE242" s="31"/>
      <c r="FF242" s="31"/>
      <c r="FG242" s="31"/>
      <c r="FH242" s="31"/>
      <c r="FI242" s="31"/>
      <c r="FJ242" s="31"/>
      <c r="FK242" s="31"/>
      <c r="FL242" s="31"/>
      <c r="FM242" s="31"/>
      <c r="FN242" s="31"/>
      <c r="FO242" s="31"/>
      <c r="FP242" s="31"/>
      <c r="FQ242" s="31"/>
      <c r="FR242" s="31"/>
      <c r="FS242" s="31"/>
      <c r="FT242" s="31"/>
      <c r="FU242" s="31"/>
      <c r="FV242" s="31"/>
      <c r="FW242" s="31"/>
      <c r="FX242" s="31"/>
      <c r="FY242" s="31"/>
      <c r="FZ242" s="31"/>
      <c r="GA242" s="31"/>
      <c r="GB242" s="31"/>
      <c r="GC242" s="31"/>
      <c r="GD242" s="31"/>
      <c r="GE242" s="31"/>
      <c r="GF242" s="31"/>
      <c r="GG242" s="31"/>
      <c r="GH242" s="31"/>
      <c r="GI242" s="31"/>
      <c r="GJ242" s="31"/>
      <c r="GK242" s="31"/>
      <c r="GL242" s="31"/>
      <c r="GM242" s="31"/>
      <c r="GN242" s="31"/>
      <c r="GO242" s="31"/>
      <c r="GP242" s="31"/>
      <c r="GQ242" s="31"/>
      <c r="GR242" s="31"/>
      <c r="GS242" s="31"/>
      <c r="GT242" s="31"/>
      <c r="GU242" s="31"/>
      <c r="GV242" s="31"/>
      <c r="GW242" s="31"/>
      <c r="GX242" s="31"/>
      <c r="GY242" s="31"/>
      <c r="GZ242" s="31"/>
      <c r="HA242" s="31"/>
      <c r="HB242" s="31"/>
      <c r="HC242" s="31"/>
      <c r="HD242" s="31"/>
      <c r="HE242" s="31"/>
      <c r="HF242" s="31"/>
      <c r="HG242" s="31"/>
      <c r="HH242" s="31"/>
      <c r="HI242" s="31"/>
      <c r="HJ242" s="31"/>
      <c r="HK242" s="31"/>
      <c r="HL242" s="31"/>
      <c r="HM242" s="31"/>
      <c r="HN242" s="31"/>
      <c r="HO242" s="31"/>
      <c r="HP242" s="31"/>
      <c r="HQ242" s="31"/>
      <c r="HR242" s="31"/>
      <c r="HS242" s="31"/>
      <c r="HT242" s="31"/>
      <c r="HU242" s="31"/>
      <c r="HV242" s="31"/>
      <c r="HW242" s="31"/>
      <c r="HX242" s="31"/>
      <c r="HY242" s="31"/>
      <c r="HZ242" s="31"/>
    </row>
    <row r="243" spans="1:234" ht="14.25" customHeight="1" x14ac:dyDescent="0.35">
      <c r="A243" s="88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30"/>
      <c r="U243" s="27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1"/>
      <c r="BD243" s="31"/>
      <c r="BE243" s="31"/>
      <c r="BF243" s="31"/>
      <c r="BG243" s="31"/>
      <c r="BH243" s="31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  <c r="BS243" s="31"/>
      <c r="BT243" s="31"/>
      <c r="BU243" s="31"/>
      <c r="BV243" s="31"/>
      <c r="BW243" s="31"/>
      <c r="BX243" s="31"/>
      <c r="BY243" s="31"/>
      <c r="BZ243" s="31"/>
      <c r="CA243" s="31"/>
      <c r="CB243" s="31"/>
      <c r="CC243" s="31"/>
      <c r="CD243" s="31"/>
      <c r="CE243" s="31"/>
      <c r="CF243" s="31"/>
      <c r="CG243" s="31"/>
      <c r="CH243" s="31"/>
      <c r="CI243" s="31"/>
      <c r="CJ243" s="31"/>
      <c r="CK243" s="31"/>
      <c r="CL243" s="31"/>
      <c r="CM243" s="31"/>
      <c r="CN243" s="31"/>
      <c r="CO243" s="31"/>
      <c r="CP243" s="31"/>
      <c r="CQ243" s="31"/>
      <c r="CR243" s="31"/>
      <c r="CS243" s="31"/>
      <c r="CT243" s="31"/>
      <c r="CU243" s="31"/>
      <c r="CV243" s="31"/>
      <c r="CW243" s="31"/>
      <c r="CX243" s="31"/>
      <c r="CY243" s="31"/>
      <c r="CZ243" s="31"/>
      <c r="DA243" s="31"/>
      <c r="DB243" s="31"/>
      <c r="DC243" s="31"/>
      <c r="DD243" s="31"/>
      <c r="DE243" s="31"/>
      <c r="DF243" s="31"/>
      <c r="DG243" s="31"/>
      <c r="DH243" s="31"/>
      <c r="DI243" s="31"/>
      <c r="DJ243" s="31"/>
      <c r="DK243" s="31"/>
      <c r="DL243" s="31"/>
      <c r="DM243" s="31"/>
      <c r="DN243" s="31"/>
      <c r="DO243" s="31"/>
      <c r="DP243" s="31"/>
      <c r="DQ243" s="31"/>
      <c r="DR243" s="31"/>
      <c r="DS243" s="31"/>
      <c r="DT243" s="31"/>
      <c r="DU243" s="31"/>
      <c r="DV243" s="31"/>
      <c r="DW243" s="31"/>
      <c r="DX243" s="31"/>
      <c r="DY243" s="31"/>
      <c r="DZ243" s="31"/>
      <c r="EA243" s="31"/>
      <c r="EB243" s="31"/>
      <c r="EC243" s="31"/>
      <c r="ED243" s="31"/>
      <c r="EE243" s="31"/>
      <c r="EF243" s="31"/>
      <c r="EG243" s="31"/>
      <c r="EH243" s="31"/>
      <c r="EI243" s="31"/>
      <c r="EJ243" s="31"/>
      <c r="EK243" s="31"/>
      <c r="EL243" s="31"/>
      <c r="EM243" s="31"/>
      <c r="EN243" s="31"/>
      <c r="EO243" s="31"/>
      <c r="EP243" s="31"/>
      <c r="EQ243" s="31"/>
      <c r="ER243" s="31"/>
      <c r="ES243" s="31"/>
      <c r="ET243" s="31"/>
      <c r="EU243" s="31"/>
      <c r="EV243" s="31"/>
      <c r="EW243" s="31"/>
      <c r="EX243" s="31"/>
      <c r="EY243" s="31"/>
      <c r="EZ243" s="31"/>
      <c r="FA243" s="31"/>
      <c r="FB243" s="31"/>
      <c r="FC243" s="31"/>
      <c r="FD243" s="31"/>
      <c r="FE243" s="31"/>
      <c r="FF243" s="31"/>
      <c r="FG243" s="31"/>
      <c r="FH243" s="31"/>
      <c r="FI243" s="31"/>
      <c r="FJ243" s="31"/>
      <c r="FK243" s="31"/>
      <c r="FL243" s="31"/>
      <c r="FM243" s="31"/>
      <c r="FN243" s="31"/>
      <c r="FO243" s="31"/>
      <c r="FP243" s="31"/>
      <c r="FQ243" s="31"/>
      <c r="FR243" s="31"/>
      <c r="FS243" s="31"/>
      <c r="FT243" s="31"/>
      <c r="FU243" s="31"/>
      <c r="FV243" s="31"/>
      <c r="FW243" s="31"/>
      <c r="FX243" s="31"/>
      <c r="FY243" s="31"/>
      <c r="FZ243" s="31"/>
      <c r="GA243" s="31"/>
      <c r="GB243" s="31"/>
      <c r="GC243" s="31"/>
      <c r="GD243" s="31"/>
      <c r="GE243" s="31"/>
      <c r="GF243" s="31"/>
      <c r="GG243" s="31"/>
      <c r="GH243" s="31"/>
      <c r="GI243" s="31"/>
      <c r="GJ243" s="31"/>
      <c r="GK243" s="31"/>
      <c r="GL243" s="31"/>
      <c r="GM243" s="31"/>
      <c r="GN243" s="31"/>
      <c r="GO243" s="31"/>
      <c r="GP243" s="31"/>
      <c r="GQ243" s="31"/>
      <c r="GR243" s="31"/>
      <c r="GS243" s="31"/>
      <c r="GT243" s="31"/>
      <c r="GU243" s="31"/>
      <c r="GV243" s="31"/>
      <c r="GW243" s="31"/>
      <c r="GX243" s="31"/>
      <c r="GY243" s="31"/>
      <c r="GZ243" s="31"/>
      <c r="HA243" s="31"/>
      <c r="HB243" s="31"/>
      <c r="HC243" s="31"/>
      <c r="HD243" s="31"/>
      <c r="HE243" s="31"/>
      <c r="HF243" s="31"/>
      <c r="HG243" s="31"/>
      <c r="HH243" s="31"/>
      <c r="HI243" s="31"/>
      <c r="HJ243" s="31"/>
      <c r="HK243" s="31"/>
      <c r="HL243" s="31"/>
      <c r="HM243" s="31"/>
      <c r="HN243" s="31"/>
      <c r="HO243" s="31"/>
      <c r="HP243" s="31"/>
      <c r="HQ243" s="31"/>
      <c r="HR243" s="31"/>
      <c r="HS243" s="31"/>
      <c r="HT243" s="31"/>
      <c r="HU243" s="31"/>
      <c r="HV243" s="31"/>
      <c r="HW243" s="31"/>
      <c r="HX243" s="31"/>
      <c r="HY243" s="31"/>
      <c r="HZ243" s="31"/>
    </row>
    <row r="244" spans="1:234" ht="14.25" customHeight="1" x14ac:dyDescent="0.35">
      <c r="A244" s="88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30"/>
      <c r="U244" s="27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  <c r="BD244" s="31"/>
      <c r="BE244" s="31"/>
      <c r="BF244" s="31"/>
      <c r="BG244" s="31"/>
      <c r="BH244" s="31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  <c r="BS244" s="31"/>
      <c r="BT244" s="31"/>
      <c r="BU244" s="31"/>
      <c r="BV244" s="31"/>
      <c r="BW244" s="31"/>
      <c r="BX244" s="31"/>
      <c r="BY244" s="31"/>
      <c r="BZ244" s="31"/>
      <c r="CA244" s="31"/>
      <c r="CB244" s="31"/>
      <c r="CC244" s="31"/>
      <c r="CD244" s="31"/>
      <c r="CE244" s="31"/>
      <c r="CF244" s="31"/>
      <c r="CG244" s="31"/>
      <c r="CH244" s="31"/>
      <c r="CI244" s="31"/>
      <c r="CJ244" s="31"/>
      <c r="CK244" s="31"/>
      <c r="CL244" s="31"/>
      <c r="CM244" s="31"/>
      <c r="CN244" s="31"/>
      <c r="CO244" s="31"/>
      <c r="CP244" s="31"/>
      <c r="CQ244" s="31"/>
      <c r="CR244" s="31"/>
      <c r="CS244" s="31"/>
      <c r="CT244" s="31"/>
      <c r="CU244" s="31"/>
      <c r="CV244" s="31"/>
      <c r="CW244" s="31"/>
      <c r="CX244" s="31"/>
      <c r="CY244" s="31"/>
      <c r="CZ244" s="31"/>
      <c r="DA244" s="31"/>
      <c r="DB244" s="31"/>
      <c r="DC244" s="31"/>
      <c r="DD244" s="31"/>
      <c r="DE244" s="31"/>
      <c r="DF244" s="31"/>
      <c r="DG244" s="31"/>
      <c r="DH244" s="31"/>
      <c r="DI244" s="31"/>
      <c r="DJ244" s="31"/>
      <c r="DK244" s="31"/>
      <c r="DL244" s="31"/>
      <c r="DM244" s="31"/>
      <c r="DN244" s="31"/>
      <c r="DO244" s="31"/>
      <c r="DP244" s="31"/>
      <c r="DQ244" s="31"/>
      <c r="DR244" s="31"/>
      <c r="DS244" s="31"/>
      <c r="DT244" s="31"/>
      <c r="DU244" s="31"/>
      <c r="DV244" s="31"/>
      <c r="DW244" s="31"/>
      <c r="DX244" s="31"/>
      <c r="DY244" s="31"/>
      <c r="DZ244" s="31"/>
      <c r="EA244" s="31"/>
      <c r="EB244" s="31"/>
      <c r="EC244" s="31"/>
      <c r="ED244" s="31"/>
      <c r="EE244" s="31"/>
      <c r="EF244" s="31"/>
      <c r="EG244" s="31"/>
      <c r="EH244" s="31"/>
      <c r="EI244" s="31"/>
      <c r="EJ244" s="31"/>
      <c r="EK244" s="31"/>
      <c r="EL244" s="31"/>
      <c r="EM244" s="31"/>
      <c r="EN244" s="31"/>
      <c r="EO244" s="31"/>
      <c r="EP244" s="31"/>
      <c r="EQ244" s="31"/>
      <c r="ER244" s="31"/>
      <c r="ES244" s="31"/>
      <c r="ET244" s="31"/>
      <c r="EU244" s="31"/>
      <c r="EV244" s="31"/>
      <c r="EW244" s="31"/>
      <c r="EX244" s="31"/>
      <c r="EY244" s="31"/>
      <c r="EZ244" s="31"/>
      <c r="FA244" s="31"/>
      <c r="FB244" s="31"/>
      <c r="FC244" s="31"/>
      <c r="FD244" s="31"/>
      <c r="FE244" s="31"/>
      <c r="FF244" s="31"/>
      <c r="FG244" s="31"/>
      <c r="FH244" s="31"/>
      <c r="FI244" s="31"/>
      <c r="FJ244" s="31"/>
      <c r="FK244" s="31"/>
      <c r="FL244" s="31"/>
      <c r="FM244" s="31"/>
      <c r="FN244" s="31"/>
      <c r="FO244" s="31"/>
      <c r="FP244" s="31"/>
      <c r="FQ244" s="31"/>
      <c r="FR244" s="31"/>
      <c r="FS244" s="31"/>
      <c r="FT244" s="31"/>
      <c r="FU244" s="31"/>
      <c r="FV244" s="31"/>
      <c r="FW244" s="31"/>
      <c r="FX244" s="31"/>
      <c r="FY244" s="31"/>
      <c r="FZ244" s="31"/>
      <c r="GA244" s="31"/>
      <c r="GB244" s="31"/>
      <c r="GC244" s="31"/>
      <c r="GD244" s="31"/>
      <c r="GE244" s="31"/>
      <c r="GF244" s="31"/>
      <c r="GG244" s="31"/>
      <c r="GH244" s="31"/>
      <c r="GI244" s="31"/>
      <c r="GJ244" s="31"/>
      <c r="GK244" s="31"/>
      <c r="GL244" s="31"/>
      <c r="GM244" s="31"/>
      <c r="GN244" s="31"/>
      <c r="GO244" s="31"/>
      <c r="GP244" s="31"/>
      <c r="GQ244" s="31"/>
      <c r="GR244" s="31"/>
      <c r="GS244" s="31"/>
      <c r="GT244" s="31"/>
      <c r="GU244" s="31"/>
      <c r="GV244" s="31"/>
      <c r="GW244" s="31"/>
      <c r="GX244" s="31"/>
      <c r="GY244" s="31"/>
      <c r="GZ244" s="31"/>
      <c r="HA244" s="31"/>
      <c r="HB244" s="31"/>
      <c r="HC244" s="31"/>
      <c r="HD244" s="31"/>
      <c r="HE244" s="31"/>
      <c r="HF244" s="31"/>
      <c r="HG244" s="31"/>
      <c r="HH244" s="31"/>
      <c r="HI244" s="31"/>
      <c r="HJ244" s="31"/>
      <c r="HK244" s="31"/>
      <c r="HL244" s="31"/>
      <c r="HM244" s="31"/>
      <c r="HN244" s="31"/>
      <c r="HO244" s="31"/>
      <c r="HP244" s="31"/>
      <c r="HQ244" s="31"/>
      <c r="HR244" s="31"/>
      <c r="HS244" s="31"/>
      <c r="HT244" s="31"/>
      <c r="HU244" s="31"/>
      <c r="HV244" s="31"/>
      <c r="HW244" s="31"/>
      <c r="HX244" s="31"/>
      <c r="HY244" s="31"/>
      <c r="HZ244" s="31"/>
    </row>
    <row r="245" spans="1:234" ht="14.25" customHeight="1" x14ac:dyDescent="0.35">
      <c r="A245" s="88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30"/>
      <c r="U245" s="27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  <c r="BD245" s="31"/>
      <c r="BE245" s="31"/>
      <c r="BF245" s="31"/>
      <c r="BG245" s="31"/>
      <c r="BH245" s="31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  <c r="BS245" s="31"/>
      <c r="BT245" s="31"/>
      <c r="BU245" s="31"/>
      <c r="BV245" s="31"/>
      <c r="BW245" s="31"/>
      <c r="BX245" s="31"/>
      <c r="BY245" s="31"/>
      <c r="BZ245" s="31"/>
      <c r="CA245" s="31"/>
      <c r="CB245" s="31"/>
      <c r="CC245" s="31"/>
      <c r="CD245" s="31"/>
      <c r="CE245" s="31"/>
      <c r="CF245" s="31"/>
      <c r="CG245" s="31"/>
      <c r="CH245" s="31"/>
      <c r="CI245" s="31"/>
      <c r="CJ245" s="31"/>
      <c r="CK245" s="31"/>
      <c r="CL245" s="31"/>
      <c r="CM245" s="31"/>
      <c r="CN245" s="31"/>
      <c r="CO245" s="31"/>
      <c r="CP245" s="31"/>
      <c r="CQ245" s="31"/>
      <c r="CR245" s="31"/>
      <c r="CS245" s="31"/>
      <c r="CT245" s="31"/>
      <c r="CU245" s="31"/>
      <c r="CV245" s="31"/>
      <c r="CW245" s="31"/>
      <c r="CX245" s="31"/>
      <c r="CY245" s="31"/>
      <c r="CZ245" s="31"/>
      <c r="DA245" s="31"/>
      <c r="DB245" s="31"/>
      <c r="DC245" s="31"/>
      <c r="DD245" s="31"/>
      <c r="DE245" s="31"/>
      <c r="DF245" s="31"/>
      <c r="DG245" s="31"/>
      <c r="DH245" s="31"/>
      <c r="DI245" s="31"/>
      <c r="DJ245" s="31"/>
      <c r="DK245" s="31"/>
      <c r="DL245" s="31"/>
      <c r="DM245" s="31"/>
      <c r="DN245" s="31"/>
      <c r="DO245" s="31"/>
      <c r="DP245" s="31"/>
      <c r="DQ245" s="31"/>
      <c r="DR245" s="31"/>
      <c r="DS245" s="31"/>
      <c r="DT245" s="31"/>
      <c r="DU245" s="31"/>
      <c r="DV245" s="31"/>
      <c r="DW245" s="31"/>
      <c r="DX245" s="31"/>
      <c r="DY245" s="31"/>
      <c r="DZ245" s="31"/>
      <c r="EA245" s="31"/>
      <c r="EB245" s="31"/>
      <c r="EC245" s="31"/>
      <c r="ED245" s="31"/>
      <c r="EE245" s="31"/>
      <c r="EF245" s="31"/>
      <c r="EG245" s="31"/>
      <c r="EH245" s="31"/>
      <c r="EI245" s="31"/>
      <c r="EJ245" s="31"/>
      <c r="EK245" s="31"/>
      <c r="EL245" s="31"/>
      <c r="EM245" s="31"/>
      <c r="EN245" s="31"/>
      <c r="EO245" s="31"/>
      <c r="EP245" s="31"/>
      <c r="EQ245" s="31"/>
      <c r="ER245" s="31"/>
      <c r="ES245" s="31"/>
      <c r="ET245" s="31"/>
      <c r="EU245" s="31"/>
      <c r="EV245" s="31"/>
      <c r="EW245" s="31"/>
      <c r="EX245" s="31"/>
      <c r="EY245" s="31"/>
      <c r="EZ245" s="31"/>
      <c r="FA245" s="31"/>
      <c r="FB245" s="31"/>
      <c r="FC245" s="31"/>
      <c r="FD245" s="31"/>
      <c r="FE245" s="31"/>
      <c r="FF245" s="31"/>
      <c r="FG245" s="31"/>
      <c r="FH245" s="31"/>
      <c r="FI245" s="31"/>
      <c r="FJ245" s="31"/>
      <c r="FK245" s="31"/>
      <c r="FL245" s="31"/>
      <c r="FM245" s="31"/>
      <c r="FN245" s="31"/>
      <c r="FO245" s="31"/>
      <c r="FP245" s="31"/>
      <c r="FQ245" s="31"/>
      <c r="FR245" s="31"/>
      <c r="FS245" s="31"/>
      <c r="FT245" s="31"/>
      <c r="FU245" s="31"/>
      <c r="FV245" s="31"/>
      <c r="FW245" s="31"/>
      <c r="FX245" s="31"/>
      <c r="FY245" s="31"/>
      <c r="FZ245" s="31"/>
      <c r="GA245" s="31"/>
      <c r="GB245" s="31"/>
      <c r="GC245" s="31"/>
      <c r="GD245" s="31"/>
      <c r="GE245" s="31"/>
      <c r="GF245" s="31"/>
      <c r="GG245" s="31"/>
      <c r="GH245" s="31"/>
      <c r="GI245" s="31"/>
      <c r="GJ245" s="31"/>
      <c r="GK245" s="31"/>
      <c r="GL245" s="31"/>
      <c r="GM245" s="31"/>
      <c r="GN245" s="31"/>
      <c r="GO245" s="31"/>
      <c r="GP245" s="31"/>
      <c r="GQ245" s="31"/>
      <c r="GR245" s="31"/>
      <c r="GS245" s="31"/>
      <c r="GT245" s="31"/>
      <c r="GU245" s="31"/>
      <c r="GV245" s="31"/>
      <c r="GW245" s="31"/>
      <c r="GX245" s="31"/>
      <c r="GY245" s="31"/>
      <c r="GZ245" s="31"/>
      <c r="HA245" s="31"/>
      <c r="HB245" s="31"/>
      <c r="HC245" s="31"/>
      <c r="HD245" s="31"/>
      <c r="HE245" s="31"/>
      <c r="HF245" s="31"/>
      <c r="HG245" s="31"/>
      <c r="HH245" s="31"/>
      <c r="HI245" s="31"/>
      <c r="HJ245" s="31"/>
      <c r="HK245" s="31"/>
      <c r="HL245" s="31"/>
      <c r="HM245" s="31"/>
      <c r="HN245" s="31"/>
      <c r="HO245" s="31"/>
      <c r="HP245" s="31"/>
      <c r="HQ245" s="31"/>
      <c r="HR245" s="31"/>
      <c r="HS245" s="31"/>
      <c r="HT245" s="31"/>
      <c r="HU245" s="31"/>
      <c r="HV245" s="31"/>
      <c r="HW245" s="31"/>
      <c r="HX245" s="31"/>
      <c r="HY245" s="31"/>
      <c r="HZ245" s="31"/>
    </row>
    <row r="246" spans="1:234" ht="14.25" customHeight="1" x14ac:dyDescent="0.35">
      <c r="A246" s="88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30"/>
      <c r="U246" s="27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  <c r="BB246" s="31"/>
      <c r="BC246" s="31"/>
      <c r="BD246" s="31"/>
      <c r="BE246" s="31"/>
      <c r="BF246" s="31"/>
      <c r="BG246" s="31"/>
      <c r="BH246" s="31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  <c r="BS246" s="31"/>
      <c r="BT246" s="31"/>
      <c r="BU246" s="31"/>
      <c r="BV246" s="31"/>
      <c r="BW246" s="31"/>
      <c r="BX246" s="31"/>
      <c r="BY246" s="31"/>
      <c r="BZ246" s="31"/>
      <c r="CA246" s="31"/>
      <c r="CB246" s="31"/>
      <c r="CC246" s="31"/>
      <c r="CD246" s="31"/>
      <c r="CE246" s="31"/>
      <c r="CF246" s="31"/>
      <c r="CG246" s="31"/>
      <c r="CH246" s="31"/>
      <c r="CI246" s="31"/>
      <c r="CJ246" s="31"/>
      <c r="CK246" s="31"/>
      <c r="CL246" s="31"/>
      <c r="CM246" s="31"/>
      <c r="CN246" s="31"/>
      <c r="CO246" s="31"/>
      <c r="CP246" s="31"/>
      <c r="CQ246" s="31"/>
      <c r="CR246" s="31"/>
      <c r="CS246" s="31"/>
      <c r="CT246" s="31"/>
      <c r="CU246" s="31"/>
      <c r="CV246" s="31"/>
      <c r="CW246" s="31"/>
      <c r="CX246" s="31"/>
      <c r="CY246" s="31"/>
      <c r="CZ246" s="31"/>
      <c r="DA246" s="31"/>
      <c r="DB246" s="31"/>
      <c r="DC246" s="31"/>
      <c r="DD246" s="31"/>
      <c r="DE246" s="31"/>
      <c r="DF246" s="31"/>
      <c r="DG246" s="31"/>
      <c r="DH246" s="31"/>
      <c r="DI246" s="31"/>
      <c r="DJ246" s="31"/>
      <c r="DK246" s="31"/>
      <c r="DL246" s="31"/>
      <c r="DM246" s="31"/>
      <c r="DN246" s="31"/>
      <c r="DO246" s="31"/>
      <c r="DP246" s="31"/>
      <c r="DQ246" s="31"/>
      <c r="DR246" s="31"/>
      <c r="DS246" s="31"/>
      <c r="DT246" s="31"/>
      <c r="DU246" s="31"/>
      <c r="DV246" s="31"/>
      <c r="DW246" s="31"/>
      <c r="DX246" s="31"/>
      <c r="DY246" s="31"/>
      <c r="DZ246" s="31"/>
      <c r="EA246" s="31"/>
      <c r="EB246" s="31"/>
      <c r="EC246" s="31"/>
      <c r="ED246" s="31"/>
      <c r="EE246" s="31"/>
      <c r="EF246" s="31"/>
      <c r="EG246" s="31"/>
      <c r="EH246" s="31"/>
      <c r="EI246" s="31"/>
      <c r="EJ246" s="31"/>
      <c r="EK246" s="31"/>
      <c r="EL246" s="31"/>
      <c r="EM246" s="31"/>
      <c r="EN246" s="31"/>
      <c r="EO246" s="31"/>
      <c r="EP246" s="31"/>
      <c r="EQ246" s="31"/>
      <c r="ER246" s="31"/>
      <c r="ES246" s="31"/>
      <c r="ET246" s="31"/>
      <c r="EU246" s="31"/>
      <c r="EV246" s="31"/>
      <c r="EW246" s="31"/>
      <c r="EX246" s="31"/>
      <c r="EY246" s="31"/>
      <c r="EZ246" s="31"/>
      <c r="FA246" s="31"/>
      <c r="FB246" s="31"/>
      <c r="FC246" s="31"/>
      <c r="FD246" s="31"/>
      <c r="FE246" s="31"/>
      <c r="FF246" s="31"/>
      <c r="FG246" s="31"/>
      <c r="FH246" s="31"/>
      <c r="FI246" s="31"/>
      <c r="FJ246" s="31"/>
      <c r="FK246" s="31"/>
      <c r="FL246" s="31"/>
      <c r="FM246" s="31"/>
      <c r="FN246" s="31"/>
      <c r="FO246" s="31"/>
      <c r="FP246" s="31"/>
      <c r="FQ246" s="31"/>
      <c r="FR246" s="31"/>
      <c r="FS246" s="31"/>
      <c r="FT246" s="31"/>
      <c r="FU246" s="31"/>
      <c r="FV246" s="31"/>
      <c r="FW246" s="31"/>
      <c r="FX246" s="31"/>
      <c r="FY246" s="31"/>
      <c r="FZ246" s="31"/>
      <c r="GA246" s="31"/>
      <c r="GB246" s="31"/>
      <c r="GC246" s="31"/>
      <c r="GD246" s="31"/>
      <c r="GE246" s="31"/>
      <c r="GF246" s="31"/>
      <c r="GG246" s="31"/>
      <c r="GH246" s="31"/>
      <c r="GI246" s="31"/>
      <c r="GJ246" s="31"/>
      <c r="GK246" s="31"/>
      <c r="GL246" s="31"/>
      <c r="GM246" s="31"/>
      <c r="GN246" s="31"/>
      <c r="GO246" s="31"/>
      <c r="GP246" s="31"/>
      <c r="GQ246" s="31"/>
      <c r="GR246" s="31"/>
      <c r="GS246" s="31"/>
      <c r="GT246" s="31"/>
      <c r="GU246" s="31"/>
      <c r="GV246" s="31"/>
      <c r="GW246" s="31"/>
      <c r="GX246" s="31"/>
      <c r="GY246" s="31"/>
      <c r="GZ246" s="31"/>
      <c r="HA246" s="31"/>
      <c r="HB246" s="31"/>
      <c r="HC246" s="31"/>
      <c r="HD246" s="31"/>
      <c r="HE246" s="31"/>
      <c r="HF246" s="31"/>
      <c r="HG246" s="31"/>
      <c r="HH246" s="31"/>
      <c r="HI246" s="31"/>
      <c r="HJ246" s="31"/>
      <c r="HK246" s="31"/>
      <c r="HL246" s="31"/>
      <c r="HM246" s="31"/>
      <c r="HN246" s="31"/>
      <c r="HO246" s="31"/>
      <c r="HP246" s="31"/>
      <c r="HQ246" s="31"/>
      <c r="HR246" s="31"/>
      <c r="HS246" s="31"/>
      <c r="HT246" s="31"/>
      <c r="HU246" s="31"/>
      <c r="HV246" s="31"/>
      <c r="HW246" s="31"/>
      <c r="HX246" s="31"/>
      <c r="HY246" s="31"/>
      <c r="HZ246" s="31"/>
    </row>
    <row r="247" spans="1:234" ht="14.25" customHeight="1" x14ac:dyDescent="0.35">
      <c r="A247" s="88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30"/>
      <c r="U247" s="27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  <c r="AY247" s="31"/>
      <c r="AZ247" s="31"/>
      <c r="BA247" s="31"/>
      <c r="BB247" s="31"/>
      <c r="BC247" s="31"/>
      <c r="BD247" s="31"/>
      <c r="BE247" s="31"/>
      <c r="BF247" s="31"/>
      <c r="BG247" s="31"/>
      <c r="BH247" s="31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  <c r="BS247" s="31"/>
      <c r="BT247" s="31"/>
      <c r="BU247" s="31"/>
      <c r="BV247" s="31"/>
      <c r="BW247" s="31"/>
      <c r="BX247" s="31"/>
      <c r="BY247" s="31"/>
      <c r="BZ247" s="31"/>
      <c r="CA247" s="31"/>
      <c r="CB247" s="31"/>
      <c r="CC247" s="31"/>
      <c r="CD247" s="31"/>
      <c r="CE247" s="31"/>
      <c r="CF247" s="31"/>
      <c r="CG247" s="31"/>
      <c r="CH247" s="31"/>
      <c r="CI247" s="31"/>
      <c r="CJ247" s="31"/>
      <c r="CK247" s="31"/>
      <c r="CL247" s="31"/>
      <c r="CM247" s="31"/>
      <c r="CN247" s="31"/>
      <c r="CO247" s="31"/>
      <c r="CP247" s="31"/>
      <c r="CQ247" s="31"/>
      <c r="CR247" s="31"/>
      <c r="CS247" s="31"/>
      <c r="CT247" s="31"/>
      <c r="CU247" s="31"/>
      <c r="CV247" s="31"/>
      <c r="CW247" s="31"/>
      <c r="CX247" s="31"/>
      <c r="CY247" s="31"/>
      <c r="CZ247" s="31"/>
      <c r="DA247" s="31"/>
      <c r="DB247" s="31"/>
      <c r="DC247" s="31"/>
      <c r="DD247" s="31"/>
      <c r="DE247" s="31"/>
      <c r="DF247" s="31"/>
      <c r="DG247" s="31"/>
      <c r="DH247" s="31"/>
      <c r="DI247" s="31"/>
      <c r="DJ247" s="31"/>
      <c r="DK247" s="31"/>
      <c r="DL247" s="31"/>
      <c r="DM247" s="31"/>
      <c r="DN247" s="31"/>
      <c r="DO247" s="31"/>
      <c r="DP247" s="31"/>
      <c r="DQ247" s="31"/>
      <c r="DR247" s="31"/>
      <c r="DS247" s="31"/>
      <c r="DT247" s="31"/>
      <c r="DU247" s="31"/>
      <c r="DV247" s="31"/>
      <c r="DW247" s="31"/>
      <c r="DX247" s="31"/>
      <c r="DY247" s="31"/>
      <c r="DZ247" s="31"/>
      <c r="EA247" s="31"/>
      <c r="EB247" s="31"/>
      <c r="EC247" s="31"/>
      <c r="ED247" s="31"/>
      <c r="EE247" s="31"/>
      <c r="EF247" s="31"/>
      <c r="EG247" s="31"/>
      <c r="EH247" s="31"/>
      <c r="EI247" s="31"/>
      <c r="EJ247" s="31"/>
      <c r="EK247" s="31"/>
      <c r="EL247" s="31"/>
      <c r="EM247" s="31"/>
      <c r="EN247" s="31"/>
      <c r="EO247" s="31"/>
      <c r="EP247" s="31"/>
      <c r="EQ247" s="31"/>
      <c r="ER247" s="31"/>
      <c r="ES247" s="31"/>
      <c r="ET247" s="31"/>
      <c r="EU247" s="31"/>
      <c r="EV247" s="31"/>
      <c r="EW247" s="31"/>
      <c r="EX247" s="31"/>
      <c r="EY247" s="31"/>
      <c r="EZ247" s="31"/>
      <c r="FA247" s="31"/>
      <c r="FB247" s="31"/>
      <c r="FC247" s="31"/>
      <c r="FD247" s="31"/>
      <c r="FE247" s="31"/>
      <c r="FF247" s="31"/>
      <c r="FG247" s="31"/>
      <c r="FH247" s="31"/>
      <c r="FI247" s="31"/>
      <c r="FJ247" s="31"/>
      <c r="FK247" s="31"/>
      <c r="FL247" s="31"/>
      <c r="FM247" s="31"/>
      <c r="FN247" s="31"/>
      <c r="FO247" s="31"/>
      <c r="FP247" s="31"/>
      <c r="FQ247" s="31"/>
      <c r="FR247" s="31"/>
      <c r="FS247" s="31"/>
      <c r="FT247" s="31"/>
      <c r="FU247" s="31"/>
      <c r="FV247" s="31"/>
      <c r="FW247" s="31"/>
      <c r="FX247" s="31"/>
      <c r="FY247" s="31"/>
      <c r="FZ247" s="31"/>
      <c r="GA247" s="31"/>
      <c r="GB247" s="31"/>
      <c r="GC247" s="31"/>
      <c r="GD247" s="31"/>
      <c r="GE247" s="31"/>
      <c r="GF247" s="31"/>
      <c r="GG247" s="31"/>
      <c r="GH247" s="31"/>
      <c r="GI247" s="31"/>
      <c r="GJ247" s="31"/>
      <c r="GK247" s="31"/>
      <c r="GL247" s="31"/>
      <c r="GM247" s="31"/>
      <c r="GN247" s="31"/>
      <c r="GO247" s="31"/>
      <c r="GP247" s="31"/>
      <c r="GQ247" s="31"/>
      <c r="GR247" s="31"/>
      <c r="GS247" s="31"/>
      <c r="GT247" s="31"/>
      <c r="GU247" s="31"/>
      <c r="GV247" s="31"/>
      <c r="GW247" s="31"/>
      <c r="GX247" s="31"/>
      <c r="GY247" s="31"/>
      <c r="GZ247" s="31"/>
      <c r="HA247" s="31"/>
      <c r="HB247" s="31"/>
      <c r="HC247" s="31"/>
      <c r="HD247" s="31"/>
      <c r="HE247" s="31"/>
      <c r="HF247" s="31"/>
      <c r="HG247" s="31"/>
      <c r="HH247" s="31"/>
      <c r="HI247" s="31"/>
      <c r="HJ247" s="31"/>
      <c r="HK247" s="31"/>
      <c r="HL247" s="31"/>
      <c r="HM247" s="31"/>
      <c r="HN247" s="31"/>
      <c r="HO247" s="31"/>
      <c r="HP247" s="31"/>
      <c r="HQ247" s="31"/>
      <c r="HR247" s="31"/>
      <c r="HS247" s="31"/>
      <c r="HT247" s="31"/>
      <c r="HU247" s="31"/>
      <c r="HV247" s="31"/>
      <c r="HW247" s="31"/>
      <c r="HX247" s="31"/>
      <c r="HY247" s="31"/>
      <c r="HZ247" s="31"/>
    </row>
    <row r="248" spans="1:234" ht="14.25" customHeight="1" x14ac:dyDescent="0.35">
      <c r="A248" s="88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30"/>
      <c r="U248" s="27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  <c r="BD248" s="31"/>
      <c r="BE248" s="31"/>
      <c r="BF248" s="31"/>
      <c r="BG248" s="31"/>
      <c r="BH248" s="31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  <c r="BS248" s="31"/>
      <c r="BT248" s="31"/>
      <c r="BU248" s="31"/>
      <c r="BV248" s="31"/>
      <c r="BW248" s="31"/>
      <c r="BX248" s="31"/>
      <c r="BY248" s="31"/>
      <c r="BZ248" s="31"/>
      <c r="CA248" s="31"/>
      <c r="CB248" s="31"/>
      <c r="CC248" s="31"/>
      <c r="CD248" s="31"/>
      <c r="CE248" s="31"/>
      <c r="CF248" s="31"/>
      <c r="CG248" s="31"/>
      <c r="CH248" s="31"/>
      <c r="CI248" s="31"/>
      <c r="CJ248" s="31"/>
      <c r="CK248" s="31"/>
      <c r="CL248" s="31"/>
      <c r="CM248" s="31"/>
      <c r="CN248" s="31"/>
      <c r="CO248" s="31"/>
      <c r="CP248" s="31"/>
      <c r="CQ248" s="31"/>
      <c r="CR248" s="31"/>
      <c r="CS248" s="31"/>
      <c r="CT248" s="31"/>
      <c r="CU248" s="31"/>
      <c r="CV248" s="31"/>
      <c r="CW248" s="31"/>
      <c r="CX248" s="31"/>
      <c r="CY248" s="31"/>
      <c r="CZ248" s="31"/>
      <c r="DA248" s="31"/>
      <c r="DB248" s="31"/>
      <c r="DC248" s="31"/>
      <c r="DD248" s="31"/>
      <c r="DE248" s="31"/>
      <c r="DF248" s="31"/>
      <c r="DG248" s="31"/>
      <c r="DH248" s="31"/>
      <c r="DI248" s="31"/>
      <c r="DJ248" s="31"/>
      <c r="DK248" s="31"/>
      <c r="DL248" s="31"/>
      <c r="DM248" s="31"/>
      <c r="DN248" s="31"/>
      <c r="DO248" s="31"/>
      <c r="DP248" s="31"/>
      <c r="DQ248" s="31"/>
      <c r="DR248" s="31"/>
      <c r="DS248" s="31"/>
      <c r="DT248" s="31"/>
      <c r="DU248" s="31"/>
      <c r="DV248" s="31"/>
      <c r="DW248" s="31"/>
      <c r="DX248" s="31"/>
      <c r="DY248" s="31"/>
      <c r="DZ248" s="31"/>
      <c r="EA248" s="31"/>
      <c r="EB248" s="31"/>
      <c r="EC248" s="31"/>
      <c r="ED248" s="31"/>
      <c r="EE248" s="31"/>
      <c r="EF248" s="31"/>
      <c r="EG248" s="31"/>
      <c r="EH248" s="31"/>
      <c r="EI248" s="31"/>
      <c r="EJ248" s="31"/>
      <c r="EK248" s="31"/>
      <c r="EL248" s="31"/>
      <c r="EM248" s="31"/>
      <c r="EN248" s="31"/>
      <c r="EO248" s="31"/>
      <c r="EP248" s="31"/>
      <c r="EQ248" s="31"/>
      <c r="ER248" s="31"/>
      <c r="ES248" s="31"/>
      <c r="ET248" s="31"/>
      <c r="EU248" s="31"/>
      <c r="EV248" s="31"/>
      <c r="EW248" s="31"/>
      <c r="EX248" s="31"/>
      <c r="EY248" s="31"/>
      <c r="EZ248" s="31"/>
      <c r="FA248" s="31"/>
      <c r="FB248" s="31"/>
      <c r="FC248" s="31"/>
      <c r="FD248" s="31"/>
      <c r="FE248" s="31"/>
      <c r="FF248" s="31"/>
      <c r="FG248" s="31"/>
      <c r="FH248" s="31"/>
      <c r="FI248" s="31"/>
      <c r="FJ248" s="31"/>
      <c r="FK248" s="31"/>
      <c r="FL248" s="31"/>
      <c r="FM248" s="31"/>
      <c r="FN248" s="31"/>
      <c r="FO248" s="31"/>
      <c r="FP248" s="31"/>
      <c r="FQ248" s="31"/>
      <c r="FR248" s="31"/>
      <c r="FS248" s="31"/>
      <c r="FT248" s="31"/>
      <c r="FU248" s="31"/>
      <c r="FV248" s="31"/>
      <c r="FW248" s="31"/>
      <c r="FX248" s="31"/>
      <c r="FY248" s="31"/>
      <c r="FZ248" s="31"/>
      <c r="GA248" s="31"/>
      <c r="GB248" s="31"/>
      <c r="GC248" s="31"/>
      <c r="GD248" s="31"/>
      <c r="GE248" s="31"/>
      <c r="GF248" s="31"/>
      <c r="GG248" s="31"/>
      <c r="GH248" s="31"/>
      <c r="GI248" s="31"/>
      <c r="GJ248" s="31"/>
      <c r="GK248" s="31"/>
      <c r="GL248" s="31"/>
      <c r="GM248" s="31"/>
      <c r="GN248" s="31"/>
      <c r="GO248" s="31"/>
      <c r="GP248" s="31"/>
      <c r="GQ248" s="31"/>
      <c r="GR248" s="31"/>
      <c r="GS248" s="31"/>
      <c r="GT248" s="31"/>
      <c r="GU248" s="31"/>
      <c r="GV248" s="31"/>
      <c r="GW248" s="31"/>
      <c r="GX248" s="31"/>
      <c r="GY248" s="31"/>
      <c r="GZ248" s="31"/>
      <c r="HA248" s="31"/>
      <c r="HB248" s="31"/>
      <c r="HC248" s="31"/>
      <c r="HD248" s="31"/>
      <c r="HE248" s="31"/>
      <c r="HF248" s="31"/>
      <c r="HG248" s="31"/>
      <c r="HH248" s="31"/>
      <c r="HI248" s="31"/>
      <c r="HJ248" s="31"/>
      <c r="HK248" s="31"/>
      <c r="HL248" s="31"/>
      <c r="HM248" s="31"/>
      <c r="HN248" s="31"/>
      <c r="HO248" s="31"/>
      <c r="HP248" s="31"/>
      <c r="HQ248" s="31"/>
      <c r="HR248" s="31"/>
      <c r="HS248" s="31"/>
      <c r="HT248" s="31"/>
      <c r="HU248" s="31"/>
      <c r="HV248" s="31"/>
      <c r="HW248" s="31"/>
      <c r="HX248" s="31"/>
      <c r="HY248" s="31"/>
      <c r="HZ248" s="31"/>
    </row>
    <row r="249" spans="1:234" ht="14.25" customHeight="1" x14ac:dyDescent="0.35">
      <c r="A249" s="88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30"/>
      <c r="U249" s="27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  <c r="BD249" s="31"/>
      <c r="BE249" s="31"/>
      <c r="BF249" s="31"/>
      <c r="BG249" s="31"/>
      <c r="BH249" s="31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  <c r="BS249" s="31"/>
      <c r="BT249" s="31"/>
      <c r="BU249" s="31"/>
      <c r="BV249" s="31"/>
      <c r="BW249" s="31"/>
      <c r="BX249" s="31"/>
      <c r="BY249" s="31"/>
      <c r="BZ249" s="31"/>
      <c r="CA249" s="31"/>
      <c r="CB249" s="31"/>
      <c r="CC249" s="31"/>
      <c r="CD249" s="31"/>
      <c r="CE249" s="31"/>
      <c r="CF249" s="31"/>
      <c r="CG249" s="31"/>
      <c r="CH249" s="31"/>
      <c r="CI249" s="31"/>
      <c r="CJ249" s="31"/>
      <c r="CK249" s="31"/>
      <c r="CL249" s="31"/>
      <c r="CM249" s="31"/>
      <c r="CN249" s="31"/>
      <c r="CO249" s="31"/>
      <c r="CP249" s="31"/>
      <c r="CQ249" s="31"/>
      <c r="CR249" s="31"/>
      <c r="CS249" s="31"/>
      <c r="CT249" s="31"/>
      <c r="CU249" s="31"/>
      <c r="CV249" s="31"/>
      <c r="CW249" s="31"/>
      <c r="CX249" s="31"/>
      <c r="CY249" s="31"/>
      <c r="CZ249" s="31"/>
      <c r="DA249" s="31"/>
      <c r="DB249" s="31"/>
      <c r="DC249" s="31"/>
      <c r="DD249" s="31"/>
      <c r="DE249" s="31"/>
      <c r="DF249" s="31"/>
      <c r="DG249" s="31"/>
      <c r="DH249" s="31"/>
      <c r="DI249" s="31"/>
      <c r="DJ249" s="31"/>
      <c r="DK249" s="31"/>
      <c r="DL249" s="31"/>
      <c r="DM249" s="31"/>
      <c r="DN249" s="31"/>
      <c r="DO249" s="31"/>
      <c r="DP249" s="31"/>
      <c r="DQ249" s="31"/>
      <c r="DR249" s="31"/>
      <c r="DS249" s="31"/>
      <c r="DT249" s="31"/>
      <c r="DU249" s="31"/>
      <c r="DV249" s="31"/>
      <c r="DW249" s="31"/>
      <c r="DX249" s="31"/>
      <c r="DY249" s="31"/>
      <c r="DZ249" s="31"/>
      <c r="EA249" s="31"/>
      <c r="EB249" s="31"/>
      <c r="EC249" s="31"/>
      <c r="ED249" s="31"/>
      <c r="EE249" s="31"/>
      <c r="EF249" s="31"/>
      <c r="EG249" s="31"/>
      <c r="EH249" s="31"/>
      <c r="EI249" s="31"/>
      <c r="EJ249" s="31"/>
      <c r="EK249" s="31"/>
      <c r="EL249" s="31"/>
      <c r="EM249" s="31"/>
      <c r="EN249" s="31"/>
      <c r="EO249" s="31"/>
      <c r="EP249" s="31"/>
      <c r="EQ249" s="31"/>
      <c r="ER249" s="31"/>
      <c r="ES249" s="31"/>
      <c r="ET249" s="31"/>
      <c r="EU249" s="31"/>
      <c r="EV249" s="31"/>
      <c r="EW249" s="31"/>
      <c r="EX249" s="31"/>
      <c r="EY249" s="31"/>
      <c r="EZ249" s="31"/>
      <c r="FA249" s="31"/>
      <c r="FB249" s="31"/>
      <c r="FC249" s="31"/>
      <c r="FD249" s="31"/>
      <c r="FE249" s="31"/>
      <c r="FF249" s="31"/>
      <c r="FG249" s="31"/>
      <c r="FH249" s="31"/>
      <c r="FI249" s="31"/>
      <c r="FJ249" s="31"/>
      <c r="FK249" s="31"/>
      <c r="FL249" s="31"/>
      <c r="FM249" s="31"/>
      <c r="FN249" s="31"/>
      <c r="FO249" s="31"/>
      <c r="FP249" s="31"/>
      <c r="FQ249" s="31"/>
      <c r="FR249" s="31"/>
      <c r="FS249" s="31"/>
      <c r="FT249" s="31"/>
      <c r="FU249" s="31"/>
      <c r="FV249" s="31"/>
      <c r="FW249" s="31"/>
      <c r="FX249" s="31"/>
      <c r="FY249" s="31"/>
      <c r="FZ249" s="31"/>
      <c r="GA249" s="31"/>
      <c r="GB249" s="31"/>
      <c r="GC249" s="31"/>
      <c r="GD249" s="31"/>
      <c r="GE249" s="31"/>
      <c r="GF249" s="31"/>
      <c r="GG249" s="31"/>
      <c r="GH249" s="31"/>
      <c r="GI249" s="31"/>
      <c r="GJ249" s="31"/>
      <c r="GK249" s="31"/>
      <c r="GL249" s="31"/>
      <c r="GM249" s="31"/>
      <c r="GN249" s="31"/>
      <c r="GO249" s="31"/>
      <c r="GP249" s="31"/>
      <c r="GQ249" s="31"/>
      <c r="GR249" s="31"/>
      <c r="GS249" s="31"/>
      <c r="GT249" s="31"/>
      <c r="GU249" s="31"/>
      <c r="GV249" s="31"/>
      <c r="GW249" s="31"/>
      <c r="GX249" s="31"/>
      <c r="GY249" s="31"/>
      <c r="GZ249" s="31"/>
      <c r="HA249" s="31"/>
      <c r="HB249" s="31"/>
      <c r="HC249" s="31"/>
      <c r="HD249" s="31"/>
      <c r="HE249" s="31"/>
      <c r="HF249" s="31"/>
      <c r="HG249" s="31"/>
      <c r="HH249" s="31"/>
      <c r="HI249" s="31"/>
      <c r="HJ249" s="31"/>
      <c r="HK249" s="31"/>
      <c r="HL249" s="31"/>
      <c r="HM249" s="31"/>
      <c r="HN249" s="31"/>
      <c r="HO249" s="31"/>
      <c r="HP249" s="31"/>
      <c r="HQ249" s="31"/>
      <c r="HR249" s="31"/>
      <c r="HS249" s="31"/>
      <c r="HT249" s="31"/>
      <c r="HU249" s="31"/>
      <c r="HV249" s="31"/>
      <c r="HW249" s="31"/>
      <c r="HX249" s="31"/>
      <c r="HY249" s="31"/>
      <c r="HZ249" s="31"/>
    </row>
    <row r="250" spans="1:234" ht="14.25" customHeight="1" x14ac:dyDescent="0.35">
      <c r="A250" s="88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30"/>
      <c r="U250" s="27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  <c r="BD250" s="31"/>
      <c r="BE250" s="31"/>
      <c r="BF250" s="31"/>
      <c r="BG250" s="31"/>
      <c r="BH250" s="31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  <c r="BS250" s="31"/>
      <c r="BT250" s="31"/>
      <c r="BU250" s="31"/>
      <c r="BV250" s="31"/>
      <c r="BW250" s="31"/>
      <c r="BX250" s="31"/>
      <c r="BY250" s="31"/>
      <c r="BZ250" s="31"/>
      <c r="CA250" s="31"/>
      <c r="CB250" s="31"/>
      <c r="CC250" s="31"/>
      <c r="CD250" s="31"/>
      <c r="CE250" s="31"/>
      <c r="CF250" s="31"/>
      <c r="CG250" s="31"/>
      <c r="CH250" s="31"/>
      <c r="CI250" s="31"/>
      <c r="CJ250" s="31"/>
      <c r="CK250" s="31"/>
      <c r="CL250" s="31"/>
      <c r="CM250" s="31"/>
      <c r="CN250" s="31"/>
      <c r="CO250" s="31"/>
      <c r="CP250" s="31"/>
      <c r="CQ250" s="31"/>
      <c r="CR250" s="31"/>
      <c r="CS250" s="31"/>
      <c r="CT250" s="31"/>
      <c r="CU250" s="31"/>
      <c r="CV250" s="31"/>
      <c r="CW250" s="31"/>
      <c r="CX250" s="31"/>
      <c r="CY250" s="31"/>
      <c r="CZ250" s="31"/>
      <c r="DA250" s="31"/>
      <c r="DB250" s="31"/>
      <c r="DC250" s="31"/>
      <c r="DD250" s="31"/>
      <c r="DE250" s="31"/>
      <c r="DF250" s="31"/>
      <c r="DG250" s="31"/>
      <c r="DH250" s="31"/>
      <c r="DI250" s="31"/>
      <c r="DJ250" s="31"/>
      <c r="DK250" s="31"/>
      <c r="DL250" s="31"/>
      <c r="DM250" s="31"/>
      <c r="DN250" s="31"/>
      <c r="DO250" s="31"/>
      <c r="DP250" s="31"/>
      <c r="DQ250" s="31"/>
      <c r="DR250" s="31"/>
      <c r="DS250" s="31"/>
      <c r="DT250" s="31"/>
      <c r="DU250" s="31"/>
      <c r="DV250" s="31"/>
      <c r="DW250" s="31"/>
      <c r="DX250" s="31"/>
      <c r="DY250" s="31"/>
      <c r="DZ250" s="31"/>
      <c r="EA250" s="31"/>
      <c r="EB250" s="31"/>
      <c r="EC250" s="31"/>
      <c r="ED250" s="31"/>
      <c r="EE250" s="31"/>
      <c r="EF250" s="31"/>
      <c r="EG250" s="31"/>
      <c r="EH250" s="31"/>
      <c r="EI250" s="31"/>
      <c r="EJ250" s="31"/>
      <c r="EK250" s="31"/>
      <c r="EL250" s="31"/>
      <c r="EM250" s="31"/>
      <c r="EN250" s="31"/>
      <c r="EO250" s="31"/>
      <c r="EP250" s="31"/>
      <c r="EQ250" s="31"/>
      <c r="ER250" s="31"/>
      <c r="ES250" s="31"/>
      <c r="ET250" s="31"/>
      <c r="EU250" s="31"/>
      <c r="EV250" s="31"/>
      <c r="EW250" s="31"/>
      <c r="EX250" s="31"/>
      <c r="EY250" s="31"/>
      <c r="EZ250" s="31"/>
      <c r="FA250" s="31"/>
      <c r="FB250" s="31"/>
      <c r="FC250" s="31"/>
      <c r="FD250" s="31"/>
      <c r="FE250" s="31"/>
      <c r="FF250" s="31"/>
      <c r="FG250" s="31"/>
      <c r="FH250" s="31"/>
      <c r="FI250" s="31"/>
      <c r="FJ250" s="31"/>
      <c r="FK250" s="31"/>
      <c r="FL250" s="31"/>
      <c r="FM250" s="31"/>
      <c r="FN250" s="31"/>
      <c r="FO250" s="31"/>
      <c r="FP250" s="31"/>
      <c r="FQ250" s="31"/>
      <c r="FR250" s="31"/>
      <c r="FS250" s="31"/>
      <c r="FT250" s="31"/>
      <c r="FU250" s="31"/>
      <c r="FV250" s="31"/>
      <c r="FW250" s="31"/>
      <c r="FX250" s="31"/>
      <c r="FY250" s="31"/>
      <c r="FZ250" s="31"/>
      <c r="GA250" s="31"/>
      <c r="GB250" s="31"/>
      <c r="GC250" s="31"/>
      <c r="GD250" s="31"/>
      <c r="GE250" s="31"/>
      <c r="GF250" s="31"/>
      <c r="GG250" s="31"/>
      <c r="GH250" s="31"/>
      <c r="GI250" s="31"/>
      <c r="GJ250" s="31"/>
      <c r="GK250" s="31"/>
      <c r="GL250" s="31"/>
      <c r="GM250" s="31"/>
      <c r="GN250" s="31"/>
      <c r="GO250" s="31"/>
      <c r="GP250" s="31"/>
      <c r="GQ250" s="31"/>
      <c r="GR250" s="31"/>
      <c r="GS250" s="31"/>
      <c r="GT250" s="31"/>
      <c r="GU250" s="31"/>
      <c r="GV250" s="31"/>
      <c r="GW250" s="31"/>
      <c r="GX250" s="31"/>
      <c r="GY250" s="31"/>
      <c r="GZ250" s="31"/>
      <c r="HA250" s="31"/>
      <c r="HB250" s="31"/>
      <c r="HC250" s="31"/>
      <c r="HD250" s="31"/>
      <c r="HE250" s="31"/>
      <c r="HF250" s="31"/>
      <c r="HG250" s="31"/>
      <c r="HH250" s="31"/>
      <c r="HI250" s="31"/>
      <c r="HJ250" s="31"/>
      <c r="HK250" s="31"/>
      <c r="HL250" s="31"/>
      <c r="HM250" s="31"/>
      <c r="HN250" s="31"/>
      <c r="HO250" s="31"/>
      <c r="HP250" s="31"/>
      <c r="HQ250" s="31"/>
      <c r="HR250" s="31"/>
      <c r="HS250" s="31"/>
      <c r="HT250" s="31"/>
      <c r="HU250" s="31"/>
      <c r="HV250" s="31"/>
      <c r="HW250" s="31"/>
      <c r="HX250" s="31"/>
      <c r="HY250" s="31"/>
      <c r="HZ250" s="31"/>
    </row>
    <row r="251" spans="1:234" ht="14.25" customHeight="1" x14ac:dyDescent="0.35">
      <c r="A251" s="88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30"/>
      <c r="U251" s="27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  <c r="BD251" s="31"/>
      <c r="BE251" s="31"/>
      <c r="BF251" s="31"/>
      <c r="BG251" s="31"/>
      <c r="BH251" s="31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  <c r="BS251" s="31"/>
      <c r="BT251" s="31"/>
      <c r="BU251" s="31"/>
      <c r="BV251" s="31"/>
      <c r="BW251" s="31"/>
      <c r="BX251" s="31"/>
      <c r="BY251" s="31"/>
      <c r="BZ251" s="31"/>
      <c r="CA251" s="31"/>
      <c r="CB251" s="31"/>
      <c r="CC251" s="31"/>
      <c r="CD251" s="31"/>
      <c r="CE251" s="31"/>
      <c r="CF251" s="31"/>
      <c r="CG251" s="31"/>
      <c r="CH251" s="31"/>
      <c r="CI251" s="31"/>
      <c r="CJ251" s="31"/>
      <c r="CK251" s="31"/>
      <c r="CL251" s="31"/>
      <c r="CM251" s="31"/>
      <c r="CN251" s="31"/>
      <c r="CO251" s="31"/>
      <c r="CP251" s="31"/>
      <c r="CQ251" s="31"/>
      <c r="CR251" s="31"/>
      <c r="CS251" s="31"/>
      <c r="CT251" s="31"/>
      <c r="CU251" s="31"/>
      <c r="CV251" s="31"/>
      <c r="CW251" s="31"/>
      <c r="CX251" s="31"/>
      <c r="CY251" s="31"/>
      <c r="CZ251" s="31"/>
      <c r="DA251" s="31"/>
      <c r="DB251" s="31"/>
      <c r="DC251" s="31"/>
      <c r="DD251" s="31"/>
      <c r="DE251" s="31"/>
      <c r="DF251" s="31"/>
      <c r="DG251" s="31"/>
      <c r="DH251" s="31"/>
      <c r="DI251" s="31"/>
      <c r="DJ251" s="31"/>
      <c r="DK251" s="31"/>
      <c r="DL251" s="31"/>
      <c r="DM251" s="31"/>
      <c r="DN251" s="31"/>
      <c r="DO251" s="31"/>
      <c r="DP251" s="31"/>
      <c r="DQ251" s="31"/>
      <c r="DR251" s="31"/>
      <c r="DS251" s="31"/>
      <c r="DT251" s="31"/>
      <c r="DU251" s="31"/>
      <c r="DV251" s="31"/>
      <c r="DW251" s="31"/>
      <c r="DX251" s="31"/>
      <c r="DY251" s="31"/>
      <c r="DZ251" s="31"/>
      <c r="EA251" s="31"/>
      <c r="EB251" s="31"/>
      <c r="EC251" s="31"/>
      <c r="ED251" s="31"/>
      <c r="EE251" s="31"/>
      <c r="EF251" s="31"/>
      <c r="EG251" s="31"/>
      <c r="EH251" s="31"/>
      <c r="EI251" s="31"/>
      <c r="EJ251" s="31"/>
      <c r="EK251" s="31"/>
      <c r="EL251" s="31"/>
      <c r="EM251" s="31"/>
      <c r="EN251" s="31"/>
      <c r="EO251" s="31"/>
      <c r="EP251" s="31"/>
      <c r="EQ251" s="31"/>
      <c r="ER251" s="31"/>
      <c r="ES251" s="31"/>
      <c r="ET251" s="31"/>
      <c r="EU251" s="31"/>
      <c r="EV251" s="31"/>
      <c r="EW251" s="31"/>
      <c r="EX251" s="31"/>
      <c r="EY251" s="31"/>
      <c r="EZ251" s="31"/>
      <c r="FA251" s="31"/>
      <c r="FB251" s="31"/>
      <c r="FC251" s="31"/>
      <c r="FD251" s="31"/>
      <c r="FE251" s="31"/>
      <c r="FF251" s="31"/>
      <c r="FG251" s="31"/>
      <c r="FH251" s="31"/>
      <c r="FI251" s="31"/>
      <c r="FJ251" s="31"/>
      <c r="FK251" s="31"/>
      <c r="FL251" s="31"/>
      <c r="FM251" s="31"/>
      <c r="FN251" s="31"/>
      <c r="FO251" s="31"/>
      <c r="FP251" s="31"/>
      <c r="FQ251" s="31"/>
      <c r="FR251" s="31"/>
      <c r="FS251" s="31"/>
      <c r="FT251" s="31"/>
      <c r="FU251" s="31"/>
      <c r="FV251" s="31"/>
      <c r="FW251" s="31"/>
      <c r="FX251" s="31"/>
      <c r="FY251" s="31"/>
      <c r="FZ251" s="31"/>
      <c r="GA251" s="31"/>
      <c r="GB251" s="31"/>
      <c r="GC251" s="31"/>
      <c r="GD251" s="31"/>
      <c r="GE251" s="31"/>
      <c r="GF251" s="31"/>
      <c r="GG251" s="31"/>
      <c r="GH251" s="31"/>
      <c r="GI251" s="31"/>
      <c r="GJ251" s="31"/>
      <c r="GK251" s="31"/>
      <c r="GL251" s="31"/>
      <c r="GM251" s="31"/>
      <c r="GN251" s="31"/>
      <c r="GO251" s="31"/>
      <c r="GP251" s="31"/>
      <c r="GQ251" s="31"/>
      <c r="GR251" s="31"/>
      <c r="GS251" s="31"/>
      <c r="GT251" s="31"/>
      <c r="GU251" s="31"/>
      <c r="GV251" s="31"/>
      <c r="GW251" s="31"/>
      <c r="GX251" s="31"/>
      <c r="GY251" s="31"/>
      <c r="GZ251" s="31"/>
      <c r="HA251" s="31"/>
      <c r="HB251" s="31"/>
      <c r="HC251" s="31"/>
      <c r="HD251" s="31"/>
      <c r="HE251" s="31"/>
      <c r="HF251" s="31"/>
      <c r="HG251" s="31"/>
      <c r="HH251" s="31"/>
      <c r="HI251" s="31"/>
      <c r="HJ251" s="31"/>
      <c r="HK251" s="31"/>
      <c r="HL251" s="31"/>
      <c r="HM251" s="31"/>
      <c r="HN251" s="31"/>
      <c r="HO251" s="31"/>
      <c r="HP251" s="31"/>
      <c r="HQ251" s="31"/>
      <c r="HR251" s="31"/>
      <c r="HS251" s="31"/>
      <c r="HT251" s="31"/>
      <c r="HU251" s="31"/>
      <c r="HV251" s="31"/>
      <c r="HW251" s="31"/>
      <c r="HX251" s="31"/>
      <c r="HY251" s="31"/>
      <c r="HZ251" s="31"/>
    </row>
    <row r="252" spans="1:234" ht="14.25" customHeight="1" x14ac:dyDescent="0.35">
      <c r="A252" s="88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30"/>
      <c r="U252" s="27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  <c r="BD252" s="31"/>
      <c r="BE252" s="31"/>
      <c r="BF252" s="31"/>
      <c r="BG252" s="31"/>
      <c r="BH252" s="31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  <c r="BS252" s="31"/>
      <c r="BT252" s="31"/>
      <c r="BU252" s="31"/>
      <c r="BV252" s="31"/>
      <c r="BW252" s="31"/>
      <c r="BX252" s="31"/>
      <c r="BY252" s="31"/>
      <c r="BZ252" s="31"/>
      <c r="CA252" s="31"/>
      <c r="CB252" s="31"/>
      <c r="CC252" s="31"/>
      <c r="CD252" s="31"/>
      <c r="CE252" s="31"/>
      <c r="CF252" s="31"/>
      <c r="CG252" s="31"/>
      <c r="CH252" s="31"/>
      <c r="CI252" s="31"/>
      <c r="CJ252" s="31"/>
      <c r="CK252" s="31"/>
      <c r="CL252" s="31"/>
      <c r="CM252" s="31"/>
      <c r="CN252" s="31"/>
      <c r="CO252" s="31"/>
      <c r="CP252" s="31"/>
      <c r="CQ252" s="31"/>
      <c r="CR252" s="31"/>
      <c r="CS252" s="31"/>
      <c r="CT252" s="31"/>
      <c r="CU252" s="31"/>
      <c r="CV252" s="31"/>
      <c r="CW252" s="31"/>
      <c r="CX252" s="31"/>
      <c r="CY252" s="31"/>
      <c r="CZ252" s="31"/>
      <c r="DA252" s="31"/>
      <c r="DB252" s="31"/>
      <c r="DC252" s="31"/>
      <c r="DD252" s="31"/>
      <c r="DE252" s="31"/>
      <c r="DF252" s="31"/>
      <c r="DG252" s="31"/>
      <c r="DH252" s="31"/>
      <c r="DI252" s="31"/>
      <c r="DJ252" s="31"/>
      <c r="DK252" s="31"/>
      <c r="DL252" s="31"/>
      <c r="DM252" s="31"/>
      <c r="DN252" s="31"/>
      <c r="DO252" s="31"/>
      <c r="DP252" s="31"/>
      <c r="DQ252" s="31"/>
      <c r="DR252" s="31"/>
      <c r="DS252" s="31"/>
      <c r="DT252" s="31"/>
      <c r="DU252" s="31"/>
      <c r="DV252" s="31"/>
      <c r="DW252" s="31"/>
      <c r="DX252" s="31"/>
      <c r="DY252" s="31"/>
      <c r="DZ252" s="31"/>
      <c r="EA252" s="31"/>
      <c r="EB252" s="31"/>
      <c r="EC252" s="31"/>
      <c r="ED252" s="31"/>
      <c r="EE252" s="31"/>
      <c r="EF252" s="31"/>
      <c r="EG252" s="31"/>
      <c r="EH252" s="31"/>
      <c r="EI252" s="31"/>
      <c r="EJ252" s="31"/>
      <c r="EK252" s="31"/>
      <c r="EL252" s="31"/>
      <c r="EM252" s="31"/>
      <c r="EN252" s="31"/>
      <c r="EO252" s="31"/>
      <c r="EP252" s="31"/>
      <c r="EQ252" s="31"/>
      <c r="ER252" s="31"/>
      <c r="ES252" s="31"/>
      <c r="ET252" s="31"/>
      <c r="EU252" s="31"/>
      <c r="EV252" s="31"/>
      <c r="EW252" s="31"/>
      <c r="EX252" s="31"/>
      <c r="EY252" s="31"/>
      <c r="EZ252" s="31"/>
      <c r="FA252" s="31"/>
      <c r="FB252" s="31"/>
      <c r="FC252" s="31"/>
      <c r="FD252" s="31"/>
      <c r="FE252" s="31"/>
      <c r="FF252" s="31"/>
      <c r="FG252" s="31"/>
      <c r="FH252" s="31"/>
      <c r="FI252" s="31"/>
      <c r="FJ252" s="31"/>
      <c r="FK252" s="31"/>
      <c r="FL252" s="31"/>
      <c r="FM252" s="31"/>
      <c r="FN252" s="31"/>
      <c r="FO252" s="31"/>
      <c r="FP252" s="31"/>
      <c r="FQ252" s="31"/>
      <c r="FR252" s="31"/>
      <c r="FS252" s="31"/>
      <c r="FT252" s="31"/>
      <c r="FU252" s="31"/>
      <c r="FV252" s="31"/>
      <c r="FW252" s="31"/>
      <c r="FX252" s="31"/>
      <c r="FY252" s="31"/>
      <c r="FZ252" s="31"/>
      <c r="GA252" s="31"/>
      <c r="GB252" s="31"/>
      <c r="GC252" s="31"/>
      <c r="GD252" s="31"/>
      <c r="GE252" s="31"/>
      <c r="GF252" s="31"/>
      <c r="GG252" s="31"/>
      <c r="GH252" s="31"/>
      <c r="GI252" s="31"/>
      <c r="GJ252" s="31"/>
      <c r="GK252" s="31"/>
      <c r="GL252" s="31"/>
      <c r="GM252" s="31"/>
      <c r="GN252" s="31"/>
      <c r="GO252" s="31"/>
      <c r="GP252" s="31"/>
      <c r="GQ252" s="31"/>
      <c r="GR252" s="31"/>
      <c r="GS252" s="31"/>
      <c r="GT252" s="31"/>
      <c r="GU252" s="31"/>
      <c r="GV252" s="31"/>
      <c r="GW252" s="31"/>
      <c r="GX252" s="31"/>
      <c r="GY252" s="31"/>
      <c r="GZ252" s="31"/>
      <c r="HA252" s="31"/>
      <c r="HB252" s="31"/>
      <c r="HC252" s="31"/>
      <c r="HD252" s="31"/>
      <c r="HE252" s="31"/>
      <c r="HF252" s="31"/>
      <c r="HG252" s="31"/>
      <c r="HH252" s="31"/>
      <c r="HI252" s="31"/>
      <c r="HJ252" s="31"/>
      <c r="HK252" s="31"/>
      <c r="HL252" s="31"/>
      <c r="HM252" s="31"/>
      <c r="HN252" s="31"/>
      <c r="HO252" s="31"/>
      <c r="HP252" s="31"/>
      <c r="HQ252" s="31"/>
      <c r="HR252" s="31"/>
      <c r="HS252" s="31"/>
      <c r="HT252" s="31"/>
      <c r="HU252" s="31"/>
      <c r="HV252" s="31"/>
      <c r="HW252" s="31"/>
      <c r="HX252" s="31"/>
      <c r="HY252" s="31"/>
      <c r="HZ252" s="31"/>
    </row>
    <row r="253" spans="1:234" ht="14.25" customHeight="1" x14ac:dyDescent="0.35">
      <c r="A253" s="88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30"/>
      <c r="U253" s="27"/>
      <c r="V253" s="31"/>
      <c r="W253" s="31"/>
      <c r="X253" s="31"/>
      <c r="Y253" s="31"/>
      <c r="Z253" s="31"/>
      <c r="AA253" s="31"/>
      <c r="AB253" s="31"/>
      <c r="AC253" s="31"/>
      <c r="AD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  <c r="BB253" s="31"/>
      <c r="BC253" s="31"/>
      <c r="BD253" s="31"/>
      <c r="BE253" s="31"/>
      <c r="BF253" s="31"/>
      <c r="BG253" s="31"/>
      <c r="BH253" s="31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  <c r="BS253" s="31"/>
      <c r="BT253" s="31"/>
      <c r="BU253" s="31"/>
      <c r="BV253" s="31"/>
      <c r="BW253" s="31"/>
      <c r="BX253" s="31"/>
      <c r="BY253" s="31"/>
      <c r="BZ253" s="31"/>
      <c r="CA253" s="31"/>
      <c r="CB253" s="31"/>
      <c r="CC253" s="31"/>
      <c r="CD253" s="31"/>
      <c r="CE253" s="31"/>
      <c r="CF253" s="31"/>
      <c r="CG253" s="31"/>
      <c r="CH253" s="31"/>
      <c r="CI253" s="31"/>
      <c r="CJ253" s="31"/>
      <c r="CK253" s="31"/>
      <c r="CL253" s="31"/>
      <c r="CM253" s="31"/>
      <c r="CN253" s="31"/>
      <c r="CO253" s="31"/>
      <c r="CP253" s="31"/>
      <c r="CQ253" s="31"/>
      <c r="CR253" s="31"/>
      <c r="CS253" s="31"/>
      <c r="CT253" s="31"/>
      <c r="CU253" s="31"/>
      <c r="CV253" s="31"/>
      <c r="CW253" s="31"/>
      <c r="CX253" s="31"/>
      <c r="CY253" s="31"/>
      <c r="CZ253" s="31"/>
      <c r="DA253" s="31"/>
      <c r="DB253" s="31"/>
      <c r="DC253" s="31"/>
      <c r="DD253" s="31"/>
      <c r="DE253" s="31"/>
      <c r="DF253" s="31"/>
      <c r="DG253" s="31"/>
      <c r="DH253" s="31"/>
      <c r="DI253" s="31"/>
      <c r="DJ253" s="31"/>
      <c r="DK253" s="31"/>
      <c r="DL253" s="31"/>
      <c r="DM253" s="31"/>
      <c r="DN253" s="31"/>
      <c r="DO253" s="31"/>
      <c r="DP253" s="31"/>
      <c r="DQ253" s="31"/>
      <c r="DR253" s="31"/>
      <c r="DS253" s="31"/>
      <c r="DT253" s="31"/>
      <c r="DU253" s="31"/>
      <c r="DV253" s="31"/>
      <c r="DW253" s="31"/>
      <c r="DX253" s="31"/>
      <c r="DY253" s="31"/>
      <c r="DZ253" s="31"/>
      <c r="EA253" s="31"/>
      <c r="EB253" s="31"/>
      <c r="EC253" s="31"/>
      <c r="ED253" s="31"/>
      <c r="EE253" s="31"/>
      <c r="EF253" s="31"/>
      <c r="EG253" s="31"/>
      <c r="EH253" s="31"/>
      <c r="EI253" s="31"/>
      <c r="EJ253" s="31"/>
      <c r="EK253" s="31"/>
      <c r="EL253" s="31"/>
      <c r="EM253" s="31"/>
      <c r="EN253" s="31"/>
      <c r="EO253" s="31"/>
      <c r="EP253" s="31"/>
      <c r="EQ253" s="31"/>
      <c r="ER253" s="31"/>
      <c r="ES253" s="31"/>
      <c r="ET253" s="31"/>
      <c r="EU253" s="31"/>
      <c r="EV253" s="31"/>
      <c r="EW253" s="31"/>
      <c r="EX253" s="31"/>
      <c r="EY253" s="31"/>
      <c r="EZ253" s="31"/>
      <c r="FA253" s="31"/>
      <c r="FB253" s="31"/>
      <c r="FC253" s="31"/>
      <c r="FD253" s="31"/>
      <c r="FE253" s="31"/>
      <c r="FF253" s="31"/>
      <c r="FG253" s="31"/>
      <c r="FH253" s="31"/>
      <c r="FI253" s="31"/>
      <c r="FJ253" s="31"/>
      <c r="FK253" s="31"/>
      <c r="FL253" s="31"/>
      <c r="FM253" s="31"/>
      <c r="FN253" s="31"/>
      <c r="FO253" s="31"/>
      <c r="FP253" s="31"/>
      <c r="FQ253" s="31"/>
      <c r="FR253" s="31"/>
      <c r="FS253" s="31"/>
      <c r="FT253" s="31"/>
      <c r="FU253" s="31"/>
      <c r="FV253" s="31"/>
      <c r="FW253" s="31"/>
      <c r="FX253" s="31"/>
      <c r="FY253" s="31"/>
      <c r="FZ253" s="31"/>
      <c r="GA253" s="31"/>
      <c r="GB253" s="31"/>
      <c r="GC253" s="31"/>
      <c r="GD253" s="31"/>
      <c r="GE253" s="31"/>
      <c r="GF253" s="31"/>
      <c r="GG253" s="31"/>
      <c r="GH253" s="31"/>
      <c r="GI253" s="31"/>
      <c r="GJ253" s="31"/>
      <c r="GK253" s="31"/>
      <c r="GL253" s="31"/>
      <c r="GM253" s="31"/>
      <c r="GN253" s="31"/>
      <c r="GO253" s="31"/>
      <c r="GP253" s="31"/>
      <c r="GQ253" s="31"/>
      <c r="GR253" s="31"/>
      <c r="GS253" s="31"/>
      <c r="GT253" s="31"/>
      <c r="GU253" s="31"/>
      <c r="GV253" s="31"/>
      <c r="GW253" s="31"/>
      <c r="GX253" s="31"/>
      <c r="GY253" s="31"/>
      <c r="GZ253" s="31"/>
      <c r="HA253" s="31"/>
      <c r="HB253" s="31"/>
      <c r="HC253" s="31"/>
      <c r="HD253" s="31"/>
      <c r="HE253" s="31"/>
      <c r="HF253" s="31"/>
      <c r="HG253" s="31"/>
      <c r="HH253" s="31"/>
      <c r="HI253" s="31"/>
      <c r="HJ253" s="31"/>
      <c r="HK253" s="31"/>
      <c r="HL253" s="31"/>
      <c r="HM253" s="31"/>
      <c r="HN253" s="31"/>
      <c r="HO253" s="31"/>
      <c r="HP253" s="31"/>
      <c r="HQ253" s="31"/>
      <c r="HR253" s="31"/>
      <c r="HS253" s="31"/>
      <c r="HT253" s="31"/>
      <c r="HU253" s="31"/>
      <c r="HV253" s="31"/>
      <c r="HW253" s="31"/>
      <c r="HX253" s="31"/>
      <c r="HY253" s="31"/>
      <c r="HZ253" s="31"/>
    </row>
    <row r="254" spans="1:234" ht="14.25" customHeight="1" x14ac:dyDescent="0.35">
      <c r="A254" s="88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30"/>
      <c r="U254" s="27"/>
      <c r="V254" s="31"/>
      <c r="W254" s="31"/>
      <c r="X254" s="31"/>
      <c r="Y254" s="31"/>
      <c r="Z254" s="31"/>
      <c r="AA254" s="31"/>
      <c r="AB254" s="31"/>
      <c r="AC254" s="31"/>
      <c r="AD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  <c r="BD254" s="31"/>
      <c r="BE254" s="31"/>
      <c r="BF254" s="31"/>
      <c r="BG254" s="31"/>
      <c r="BH254" s="31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  <c r="BS254" s="31"/>
      <c r="BT254" s="31"/>
      <c r="BU254" s="31"/>
      <c r="BV254" s="31"/>
      <c r="BW254" s="31"/>
      <c r="BX254" s="31"/>
      <c r="BY254" s="31"/>
      <c r="BZ254" s="31"/>
      <c r="CA254" s="31"/>
      <c r="CB254" s="31"/>
      <c r="CC254" s="31"/>
      <c r="CD254" s="31"/>
      <c r="CE254" s="31"/>
      <c r="CF254" s="31"/>
      <c r="CG254" s="31"/>
      <c r="CH254" s="31"/>
      <c r="CI254" s="31"/>
      <c r="CJ254" s="31"/>
      <c r="CK254" s="31"/>
      <c r="CL254" s="31"/>
      <c r="CM254" s="31"/>
      <c r="CN254" s="31"/>
      <c r="CO254" s="31"/>
      <c r="CP254" s="31"/>
      <c r="CQ254" s="31"/>
      <c r="CR254" s="31"/>
      <c r="CS254" s="31"/>
      <c r="CT254" s="31"/>
      <c r="CU254" s="31"/>
      <c r="CV254" s="31"/>
      <c r="CW254" s="31"/>
      <c r="CX254" s="31"/>
      <c r="CY254" s="31"/>
      <c r="CZ254" s="31"/>
      <c r="DA254" s="31"/>
      <c r="DB254" s="31"/>
      <c r="DC254" s="31"/>
      <c r="DD254" s="31"/>
      <c r="DE254" s="31"/>
      <c r="DF254" s="31"/>
      <c r="DG254" s="31"/>
      <c r="DH254" s="31"/>
      <c r="DI254" s="31"/>
      <c r="DJ254" s="31"/>
      <c r="DK254" s="31"/>
      <c r="DL254" s="31"/>
      <c r="DM254" s="31"/>
      <c r="DN254" s="31"/>
      <c r="DO254" s="31"/>
      <c r="DP254" s="31"/>
      <c r="DQ254" s="31"/>
      <c r="DR254" s="31"/>
      <c r="DS254" s="31"/>
      <c r="DT254" s="31"/>
      <c r="DU254" s="31"/>
      <c r="DV254" s="31"/>
      <c r="DW254" s="31"/>
      <c r="DX254" s="31"/>
      <c r="DY254" s="31"/>
      <c r="DZ254" s="31"/>
      <c r="EA254" s="31"/>
      <c r="EB254" s="31"/>
      <c r="EC254" s="31"/>
      <c r="ED254" s="31"/>
      <c r="EE254" s="31"/>
      <c r="EF254" s="31"/>
      <c r="EG254" s="31"/>
      <c r="EH254" s="31"/>
      <c r="EI254" s="31"/>
      <c r="EJ254" s="31"/>
      <c r="EK254" s="31"/>
      <c r="EL254" s="31"/>
      <c r="EM254" s="31"/>
      <c r="EN254" s="31"/>
      <c r="EO254" s="31"/>
      <c r="EP254" s="31"/>
      <c r="EQ254" s="31"/>
      <c r="ER254" s="31"/>
      <c r="ES254" s="31"/>
      <c r="ET254" s="31"/>
      <c r="EU254" s="31"/>
      <c r="EV254" s="31"/>
      <c r="EW254" s="31"/>
      <c r="EX254" s="31"/>
      <c r="EY254" s="31"/>
      <c r="EZ254" s="31"/>
      <c r="FA254" s="31"/>
      <c r="FB254" s="31"/>
      <c r="FC254" s="31"/>
      <c r="FD254" s="31"/>
      <c r="FE254" s="31"/>
      <c r="FF254" s="31"/>
      <c r="FG254" s="31"/>
      <c r="FH254" s="31"/>
      <c r="FI254" s="31"/>
      <c r="FJ254" s="31"/>
      <c r="FK254" s="31"/>
      <c r="FL254" s="31"/>
      <c r="FM254" s="31"/>
      <c r="FN254" s="31"/>
      <c r="FO254" s="31"/>
      <c r="FP254" s="31"/>
      <c r="FQ254" s="31"/>
      <c r="FR254" s="31"/>
      <c r="FS254" s="31"/>
      <c r="FT254" s="31"/>
      <c r="FU254" s="31"/>
      <c r="FV254" s="31"/>
      <c r="FW254" s="31"/>
      <c r="FX254" s="31"/>
      <c r="FY254" s="31"/>
      <c r="FZ254" s="31"/>
      <c r="GA254" s="31"/>
      <c r="GB254" s="31"/>
      <c r="GC254" s="31"/>
      <c r="GD254" s="31"/>
      <c r="GE254" s="31"/>
      <c r="GF254" s="31"/>
      <c r="GG254" s="31"/>
      <c r="GH254" s="31"/>
      <c r="GI254" s="31"/>
      <c r="GJ254" s="31"/>
      <c r="GK254" s="31"/>
      <c r="GL254" s="31"/>
      <c r="GM254" s="31"/>
      <c r="GN254" s="31"/>
      <c r="GO254" s="31"/>
      <c r="GP254" s="31"/>
      <c r="GQ254" s="31"/>
      <c r="GR254" s="31"/>
      <c r="GS254" s="31"/>
      <c r="GT254" s="31"/>
      <c r="GU254" s="31"/>
      <c r="GV254" s="31"/>
      <c r="GW254" s="31"/>
      <c r="GX254" s="31"/>
      <c r="GY254" s="31"/>
      <c r="GZ254" s="31"/>
      <c r="HA254" s="31"/>
      <c r="HB254" s="31"/>
      <c r="HC254" s="31"/>
      <c r="HD254" s="31"/>
      <c r="HE254" s="31"/>
      <c r="HF254" s="31"/>
      <c r="HG254" s="31"/>
      <c r="HH254" s="31"/>
      <c r="HI254" s="31"/>
      <c r="HJ254" s="31"/>
      <c r="HK254" s="31"/>
      <c r="HL254" s="31"/>
      <c r="HM254" s="31"/>
      <c r="HN254" s="31"/>
      <c r="HO254" s="31"/>
      <c r="HP254" s="31"/>
      <c r="HQ254" s="31"/>
      <c r="HR254" s="31"/>
      <c r="HS254" s="31"/>
      <c r="HT254" s="31"/>
      <c r="HU254" s="31"/>
      <c r="HV254" s="31"/>
      <c r="HW254" s="31"/>
      <c r="HX254" s="31"/>
      <c r="HY254" s="31"/>
      <c r="HZ254" s="31"/>
    </row>
    <row r="255" spans="1:234" ht="14.25" customHeight="1" x14ac:dyDescent="0.35">
      <c r="A255" s="88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30"/>
      <c r="U255" s="27"/>
      <c r="V255" s="31"/>
      <c r="W255" s="31"/>
      <c r="X255" s="31"/>
      <c r="Y255" s="31"/>
      <c r="Z255" s="31"/>
      <c r="AA255" s="31"/>
      <c r="AB255" s="31"/>
      <c r="AC255" s="31"/>
      <c r="AD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  <c r="BD255" s="31"/>
      <c r="BE255" s="31"/>
      <c r="BF255" s="31"/>
      <c r="BG255" s="31"/>
      <c r="BH255" s="31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  <c r="BS255" s="31"/>
      <c r="BT255" s="31"/>
      <c r="BU255" s="31"/>
      <c r="BV255" s="31"/>
      <c r="BW255" s="31"/>
      <c r="BX255" s="31"/>
      <c r="BY255" s="31"/>
      <c r="BZ255" s="31"/>
      <c r="CA255" s="31"/>
      <c r="CB255" s="31"/>
      <c r="CC255" s="31"/>
      <c r="CD255" s="31"/>
      <c r="CE255" s="31"/>
      <c r="CF255" s="31"/>
      <c r="CG255" s="31"/>
      <c r="CH255" s="31"/>
      <c r="CI255" s="31"/>
      <c r="CJ255" s="31"/>
      <c r="CK255" s="31"/>
      <c r="CL255" s="31"/>
      <c r="CM255" s="31"/>
      <c r="CN255" s="31"/>
      <c r="CO255" s="31"/>
      <c r="CP255" s="31"/>
      <c r="CQ255" s="31"/>
      <c r="CR255" s="31"/>
      <c r="CS255" s="31"/>
      <c r="CT255" s="31"/>
      <c r="CU255" s="31"/>
      <c r="CV255" s="31"/>
      <c r="CW255" s="31"/>
      <c r="CX255" s="31"/>
      <c r="CY255" s="31"/>
      <c r="CZ255" s="31"/>
      <c r="DA255" s="31"/>
      <c r="DB255" s="31"/>
      <c r="DC255" s="31"/>
      <c r="DD255" s="31"/>
      <c r="DE255" s="31"/>
      <c r="DF255" s="31"/>
      <c r="DG255" s="31"/>
      <c r="DH255" s="31"/>
      <c r="DI255" s="31"/>
      <c r="DJ255" s="31"/>
      <c r="DK255" s="31"/>
      <c r="DL255" s="31"/>
      <c r="DM255" s="31"/>
      <c r="DN255" s="31"/>
      <c r="DO255" s="31"/>
      <c r="DP255" s="31"/>
      <c r="DQ255" s="31"/>
      <c r="DR255" s="31"/>
      <c r="DS255" s="31"/>
      <c r="DT255" s="31"/>
      <c r="DU255" s="31"/>
      <c r="DV255" s="31"/>
      <c r="DW255" s="31"/>
      <c r="DX255" s="31"/>
      <c r="DY255" s="31"/>
      <c r="DZ255" s="31"/>
      <c r="EA255" s="31"/>
      <c r="EB255" s="31"/>
      <c r="EC255" s="31"/>
      <c r="ED255" s="31"/>
      <c r="EE255" s="31"/>
      <c r="EF255" s="31"/>
      <c r="EG255" s="31"/>
      <c r="EH255" s="31"/>
      <c r="EI255" s="31"/>
      <c r="EJ255" s="31"/>
      <c r="EK255" s="31"/>
      <c r="EL255" s="31"/>
      <c r="EM255" s="31"/>
      <c r="EN255" s="31"/>
      <c r="EO255" s="31"/>
      <c r="EP255" s="31"/>
      <c r="EQ255" s="31"/>
      <c r="ER255" s="31"/>
      <c r="ES255" s="31"/>
      <c r="ET255" s="31"/>
      <c r="EU255" s="31"/>
      <c r="EV255" s="31"/>
      <c r="EW255" s="31"/>
      <c r="EX255" s="31"/>
      <c r="EY255" s="31"/>
      <c r="EZ255" s="31"/>
      <c r="FA255" s="31"/>
      <c r="FB255" s="31"/>
      <c r="FC255" s="31"/>
      <c r="FD255" s="31"/>
      <c r="FE255" s="31"/>
      <c r="FF255" s="31"/>
      <c r="FG255" s="31"/>
      <c r="FH255" s="31"/>
      <c r="FI255" s="31"/>
      <c r="FJ255" s="31"/>
      <c r="FK255" s="31"/>
      <c r="FL255" s="31"/>
      <c r="FM255" s="31"/>
      <c r="FN255" s="31"/>
      <c r="FO255" s="31"/>
      <c r="FP255" s="31"/>
      <c r="FQ255" s="31"/>
      <c r="FR255" s="31"/>
      <c r="FS255" s="31"/>
      <c r="FT255" s="31"/>
      <c r="FU255" s="31"/>
      <c r="FV255" s="31"/>
      <c r="FW255" s="31"/>
      <c r="FX255" s="31"/>
      <c r="FY255" s="31"/>
      <c r="FZ255" s="31"/>
      <c r="GA255" s="31"/>
      <c r="GB255" s="31"/>
      <c r="GC255" s="31"/>
      <c r="GD255" s="31"/>
      <c r="GE255" s="31"/>
      <c r="GF255" s="31"/>
      <c r="GG255" s="31"/>
      <c r="GH255" s="31"/>
      <c r="GI255" s="31"/>
      <c r="GJ255" s="31"/>
      <c r="GK255" s="31"/>
      <c r="GL255" s="31"/>
      <c r="GM255" s="31"/>
      <c r="GN255" s="31"/>
      <c r="GO255" s="31"/>
      <c r="GP255" s="31"/>
      <c r="GQ255" s="31"/>
      <c r="GR255" s="31"/>
      <c r="GS255" s="31"/>
      <c r="GT255" s="31"/>
      <c r="GU255" s="31"/>
      <c r="GV255" s="31"/>
      <c r="GW255" s="31"/>
      <c r="GX255" s="31"/>
      <c r="GY255" s="31"/>
      <c r="GZ255" s="31"/>
      <c r="HA255" s="31"/>
      <c r="HB255" s="31"/>
      <c r="HC255" s="31"/>
      <c r="HD255" s="31"/>
      <c r="HE255" s="31"/>
      <c r="HF255" s="31"/>
      <c r="HG255" s="31"/>
      <c r="HH255" s="31"/>
      <c r="HI255" s="31"/>
      <c r="HJ255" s="31"/>
      <c r="HK255" s="31"/>
      <c r="HL255" s="31"/>
      <c r="HM255" s="31"/>
      <c r="HN255" s="31"/>
      <c r="HO255" s="31"/>
      <c r="HP255" s="31"/>
      <c r="HQ255" s="31"/>
      <c r="HR255" s="31"/>
      <c r="HS255" s="31"/>
      <c r="HT255" s="31"/>
      <c r="HU255" s="31"/>
      <c r="HV255" s="31"/>
      <c r="HW255" s="31"/>
      <c r="HX255" s="31"/>
      <c r="HY255" s="31"/>
      <c r="HZ255" s="31"/>
    </row>
    <row r="256" spans="1:234" ht="14.25" customHeight="1" x14ac:dyDescent="0.35">
      <c r="A256" s="88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30"/>
      <c r="U256" s="27"/>
      <c r="V256" s="31"/>
      <c r="W256" s="31"/>
      <c r="X256" s="31"/>
      <c r="Y256" s="31"/>
      <c r="Z256" s="31"/>
      <c r="AA256" s="31"/>
      <c r="AB256" s="31"/>
      <c r="AC256" s="31"/>
      <c r="AD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  <c r="BB256" s="31"/>
      <c r="BC256" s="31"/>
      <c r="BD256" s="31"/>
      <c r="BE256" s="31"/>
      <c r="BF256" s="31"/>
      <c r="BG256" s="31"/>
      <c r="BH256" s="31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  <c r="BS256" s="31"/>
      <c r="BT256" s="31"/>
      <c r="BU256" s="31"/>
      <c r="BV256" s="31"/>
      <c r="BW256" s="31"/>
      <c r="BX256" s="31"/>
      <c r="BY256" s="31"/>
      <c r="BZ256" s="31"/>
      <c r="CA256" s="31"/>
      <c r="CB256" s="31"/>
      <c r="CC256" s="31"/>
      <c r="CD256" s="31"/>
      <c r="CE256" s="31"/>
      <c r="CF256" s="31"/>
      <c r="CG256" s="31"/>
      <c r="CH256" s="31"/>
      <c r="CI256" s="31"/>
      <c r="CJ256" s="31"/>
      <c r="CK256" s="31"/>
      <c r="CL256" s="31"/>
      <c r="CM256" s="31"/>
      <c r="CN256" s="31"/>
      <c r="CO256" s="31"/>
      <c r="CP256" s="31"/>
      <c r="CQ256" s="31"/>
      <c r="CR256" s="31"/>
      <c r="CS256" s="31"/>
      <c r="CT256" s="31"/>
      <c r="CU256" s="31"/>
      <c r="CV256" s="31"/>
      <c r="CW256" s="31"/>
      <c r="CX256" s="31"/>
      <c r="CY256" s="31"/>
      <c r="CZ256" s="31"/>
      <c r="DA256" s="31"/>
      <c r="DB256" s="31"/>
      <c r="DC256" s="31"/>
      <c r="DD256" s="31"/>
      <c r="DE256" s="31"/>
      <c r="DF256" s="31"/>
      <c r="DG256" s="31"/>
      <c r="DH256" s="31"/>
      <c r="DI256" s="31"/>
      <c r="DJ256" s="31"/>
      <c r="DK256" s="31"/>
      <c r="DL256" s="31"/>
      <c r="DM256" s="31"/>
      <c r="DN256" s="31"/>
      <c r="DO256" s="31"/>
      <c r="DP256" s="31"/>
      <c r="DQ256" s="31"/>
      <c r="DR256" s="31"/>
      <c r="DS256" s="31"/>
      <c r="DT256" s="31"/>
      <c r="DU256" s="31"/>
      <c r="DV256" s="31"/>
      <c r="DW256" s="31"/>
      <c r="DX256" s="31"/>
      <c r="DY256" s="31"/>
      <c r="DZ256" s="31"/>
      <c r="EA256" s="31"/>
      <c r="EB256" s="31"/>
      <c r="EC256" s="31"/>
      <c r="ED256" s="31"/>
      <c r="EE256" s="31"/>
      <c r="EF256" s="31"/>
      <c r="EG256" s="31"/>
      <c r="EH256" s="31"/>
      <c r="EI256" s="31"/>
      <c r="EJ256" s="31"/>
      <c r="EK256" s="31"/>
      <c r="EL256" s="31"/>
      <c r="EM256" s="31"/>
      <c r="EN256" s="31"/>
      <c r="EO256" s="31"/>
      <c r="EP256" s="31"/>
      <c r="EQ256" s="31"/>
      <c r="ER256" s="31"/>
      <c r="ES256" s="31"/>
      <c r="ET256" s="31"/>
      <c r="EU256" s="31"/>
      <c r="EV256" s="31"/>
      <c r="EW256" s="31"/>
      <c r="EX256" s="31"/>
      <c r="EY256" s="31"/>
      <c r="EZ256" s="31"/>
      <c r="FA256" s="31"/>
      <c r="FB256" s="31"/>
      <c r="FC256" s="31"/>
      <c r="FD256" s="31"/>
      <c r="FE256" s="31"/>
      <c r="FF256" s="31"/>
      <c r="FG256" s="31"/>
      <c r="FH256" s="31"/>
      <c r="FI256" s="31"/>
      <c r="FJ256" s="31"/>
      <c r="FK256" s="31"/>
      <c r="FL256" s="31"/>
      <c r="FM256" s="31"/>
      <c r="FN256" s="31"/>
      <c r="FO256" s="31"/>
      <c r="FP256" s="31"/>
      <c r="FQ256" s="31"/>
      <c r="FR256" s="31"/>
      <c r="FS256" s="31"/>
      <c r="FT256" s="31"/>
      <c r="FU256" s="31"/>
      <c r="FV256" s="31"/>
      <c r="FW256" s="31"/>
      <c r="FX256" s="31"/>
      <c r="FY256" s="31"/>
      <c r="FZ256" s="31"/>
      <c r="GA256" s="31"/>
      <c r="GB256" s="31"/>
      <c r="GC256" s="31"/>
      <c r="GD256" s="31"/>
      <c r="GE256" s="31"/>
      <c r="GF256" s="31"/>
      <c r="GG256" s="31"/>
      <c r="GH256" s="31"/>
      <c r="GI256" s="31"/>
      <c r="GJ256" s="31"/>
      <c r="GK256" s="31"/>
      <c r="GL256" s="31"/>
      <c r="GM256" s="31"/>
      <c r="GN256" s="31"/>
      <c r="GO256" s="31"/>
      <c r="GP256" s="31"/>
      <c r="GQ256" s="31"/>
      <c r="GR256" s="31"/>
      <c r="GS256" s="31"/>
      <c r="GT256" s="31"/>
      <c r="GU256" s="31"/>
      <c r="GV256" s="31"/>
      <c r="GW256" s="31"/>
      <c r="GX256" s="31"/>
      <c r="GY256" s="31"/>
      <c r="GZ256" s="31"/>
      <c r="HA256" s="31"/>
      <c r="HB256" s="31"/>
      <c r="HC256" s="31"/>
      <c r="HD256" s="31"/>
      <c r="HE256" s="31"/>
      <c r="HF256" s="31"/>
      <c r="HG256" s="31"/>
      <c r="HH256" s="31"/>
      <c r="HI256" s="31"/>
      <c r="HJ256" s="31"/>
      <c r="HK256" s="31"/>
      <c r="HL256" s="31"/>
      <c r="HM256" s="31"/>
      <c r="HN256" s="31"/>
      <c r="HO256" s="31"/>
      <c r="HP256" s="31"/>
      <c r="HQ256" s="31"/>
      <c r="HR256" s="31"/>
      <c r="HS256" s="31"/>
      <c r="HT256" s="31"/>
      <c r="HU256" s="31"/>
      <c r="HV256" s="31"/>
      <c r="HW256" s="31"/>
      <c r="HX256" s="31"/>
      <c r="HY256" s="31"/>
      <c r="HZ256" s="31"/>
    </row>
    <row r="257" spans="1:234" ht="14.25" customHeight="1" x14ac:dyDescent="0.35">
      <c r="A257" s="88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30"/>
      <c r="U257" s="27"/>
      <c r="V257" s="31"/>
      <c r="W257" s="31"/>
      <c r="X257" s="31"/>
      <c r="Y257" s="31"/>
      <c r="Z257" s="31"/>
      <c r="AA257" s="31"/>
      <c r="AB257" s="31"/>
      <c r="AC257" s="31"/>
      <c r="AD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  <c r="BB257" s="31"/>
      <c r="BC257" s="31"/>
      <c r="BD257" s="31"/>
      <c r="BE257" s="31"/>
      <c r="BF257" s="31"/>
      <c r="BG257" s="31"/>
      <c r="BH257" s="31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  <c r="BS257" s="31"/>
      <c r="BT257" s="31"/>
      <c r="BU257" s="31"/>
      <c r="BV257" s="31"/>
      <c r="BW257" s="31"/>
      <c r="BX257" s="31"/>
      <c r="BY257" s="31"/>
      <c r="BZ257" s="31"/>
      <c r="CA257" s="31"/>
      <c r="CB257" s="31"/>
      <c r="CC257" s="31"/>
      <c r="CD257" s="31"/>
      <c r="CE257" s="31"/>
      <c r="CF257" s="31"/>
      <c r="CG257" s="31"/>
      <c r="CH257" s="31"/>
      <c r="CI257" s="31"/>
      <c r="CJ257" s="31"/>
      <c r="CK257" s="31"/>
      <c r="CL257" s="31"/>
      <c r="CM257" s="31"/>
      <c r="CN257" s="31"/>
      <c r="CO257" s="31"/>
      <c r="CP257" s="31"/>
      <c r="CQ257" s="31"/>
      <c r="CR257" s="31"/>
      <c r="CS257" s="31"/>
      <c r="CT257" s="31"/>
      <c r="CU257" s="31"/>
      <c r="CV257" s="31"/>
      <c r="CW257" s="31"/>
      <c r="CX257" s="31"/>
      <c r="CY257" s="31"/>
      <c r="CZ257" s="31"/>
      <c r="DA257" s="31"/>
      <c r="DB257" s="31"/>
      <c r="DC257" s="31"/>
      <c r="DD257" s="31"/>
      <c r="DE257" s="31"/>
      <c r="DF257" s="31"/>
      <c r="DG257" s="31"/>
      <c r="DH257" s="31"/>
      <c r="DI257" s="31"/>
      <c r="DJ257" s="31"/>
      <c r="DK257" s="31"/>
      <c r="DL257" s="31"/>
      <c r="DM257" s="31"/>
      <c r="DN257" s="31"/>
      <c r="DO257" s="31"/>
      <c r="DP257" s="31"/>
      <c r="DQ257" s="31"/>
      <c r="DR257" s="31"/>
      <c r="DS257" s="31"/>
      <c r="DT257" s="31"/>
      <c r="DU257" s="31"/>
      <c r="DV257" s="31"/>
      <c r="DW257" s="31"/>
      <c r="DX257" s="31"/>
      <c r="DY257" s="31"/>
      <c r="DZ257" s="31"/>
      <c r="EA257" s="31"/>
      <c r="EB257" s="31"/>
      <c r="EC257" s="31"/>
      <c r="ED257" s="31"/>
      <c r="EE257" s="31"/>
      <c r="EF257" s="31"/>
      <c r="EG257" s="31"/>
      <c r="EH257" s="31"/>
      <c r="EI257" s="31"/>
      <c r="EJ257" s="31"/>
      <c r="EK257" s="31"/>
      <c r="EL257" s="31"/>
      <c r="EM257" s="31"/>
      <c r="EN257" s="31"/>
      <c r="EO257" s="31"/>
      <c r="EP257" s="31"/>
      <c r="EQ257" s="31"/>
      <c r="ER257" s="31"/>
      <c r="ES257" s="31"/>
      <c r="ET257" s="31"/>
      <c r="EU257" s="31"/>
      <c r="EV257" s="31"/>
      <c r="EW257" s="31"/>
      <c r="EX257" s="31"/>
      <c r="EY257" s="31"/>
      <c r="EZ257" s="31"/>
      <c r="FA257" s="31"/>
      <c r="FB257" s="31"/>
      <c r="FC257" s="31"/>
      <c r="FD257" s="31"/>
      <c r="FE257" s="31"/>
      <c r="FF257" s="31"/>
      <c r="FG257" s="31"/>
      <c r="FH257" s="31"/>
      <c r="FI257" s="31"/>
      <c r="FJ257" s="31"/>
      <c r="FK257" s="31"/>
      <c r="FL257" s="31"/>
      <c r="FM257" s="31"/>
      <c r="FN257" s="31"/>
      <c r="FO257" s="31"/>
      <c r="FP257" s="31"/>
      <c r="FQ257" s="31"/>
      <c r="FR257" s="31"/>
      <c r="FS257" s="31"/>
      <c r="FT257" s="31"/>
      <c r="FU257" s="31"/>
      <c r="FV257" s="31"/>
      <c r="FW257" s="31"/>
      <c r="FX257" s="31"/>
      <c r="FY257" s="31"/>
      <c r="FZ257" s="31"/>
      <c r="GA257" s="31"/>
      <c r="GB257" s="31"/>
      <c r="GC257" s="31"/>
      <c r="GD257" s="31"/>
      <c r="GE257" s="31"/>
      <c r="GF257" s="31"/>
      <c r="GG257" s="31"/>
      <c r="GH257" s="31"/>
      <c r="GI257" s="31"/>
      <c r="GJ257" s="31"/>
      <c r="GK257" s="31"/>
      <c r="GL257" s="31"/>
      <c r="GM257" s="31"/>
      <c r="GN257" s="31"/>
      <c r="GO257" s="31"/>
      <c r="GP257" s="31"/>
      <c r="GQ257" s="31"/>
      <c r="GR257" s="31"/>
      <c r="GS257" s="31"/>
      <c r="GT257" s="31"/>
      <c r="GU257" s="31"/>
      <c r="GV257" s="31"/>
      <c r="GW257" s="31"/>
      <c r="GX257" s="31"/>
      <c r="GY257" s="31"/>
      <c r="GZ257" s="31"/>
      <c r="HA257" s="31"/>
      <c r="HB257" s="31"/>
      <c r="HC257" s="31"/>
      <c r="HD257" s="31"/>
      <c r="HE257" s="31"/>
      <c r="HF257" s="31"/>
      <c r="HG257" s="31"/>
      <c r="HH257" s="31"/>
      <c r="HI257" s="31"/>
      <c r="HJ257" s="31"/>
      <c r="HK257" s="31"/>
      <c r="HL257" s="31"/>
      <c r="HM257" s="31"/>
      <c r="HN257" s="31"/>
      <c r="HO257" s="31"/>
      <c r="HP257" s="31"/>
      <c r="HQ257" s="31"/>
      <c r="HR257" s="31"/>
      <c r="HS257" s="31"/>
      <c r="HT257" s="31"/>
      <c r="HU257" s="31"/>
      <c r="HV257" s="31"/>
      <c r="HW257" s="31"/>
      <c r="HX257" s="31"/>
      <c r="HY257" s="31"/>
      <c r="HZ257" s="31"/>
    </row>
    <row r="258" spans="1:234" ht="14.25" customHeight="1" x14ac:dyDescent="0.35">
      <c r="A258" s="88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30"/>
      <c r="U258" s="27"/>
      <c r="V258" s="31"/>
      <c r="W258" s="31"/>
      <c r="X258" s="31"/>
      <c r="Y258" s="31"/>
      <c r="Z258" s="31"/>
      <c r="AA258" s="31"/>
      <c r="AB258" s="31"/>
      <c r="AC258" s="31"/>
      <c r="AD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  <c r="AY258" s="31"/>
      <c r="AZ258" s="31"/>
      <c r="BA258" s="31"/>
      <c r="BB258" s="31"/>
      <c r="BC258" s="31"/>
      <c r="BD258" s="31"/>
      <c r="BE258" s="31"/>
      <c r="BF258" s="31"/>
      <c r="BG258" s="31"/>
      <c r="BH258" s="31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  <c r="BS258" s="31"/>
      <c r="BT258" s="31"/>
      <c r="BU258" s="31"/>
      <c r="BV258" s="31"/>
      <c r="BW258" s="31"/>
      <c r="BX258" s="31"/>
      <c r="BY258" s="31"/>
      <c r="BZ258" s="31"/>
      <c r="CA258" s="31"/>
      <c r="CB258" s="31"/>
      <c r="CC258" s="31"/>
      <c r="CD258" s="31"/>
      <c r="CE258" s="31"/>
      <c r="CF258" s="31"/>
      <c r="CG258" s="31"/>
      <c r="CH258" s="31"/>
      <c r="CI258" s="31"/>
      <c r="CJ258" s="31"/>
      <c r="CK258" s="31"/>
      <c r="CL258" s="31"/>
      <c r="CM258" s="31"/>
      <c r="CN258" s="31"/>
      <c r="CO258" s="31"/>
      <c r="CP258" s="31"/>
      <c r="CQ258" s="31"/>
      <c r="CR258" s="31"/>
      <c r="CS258" s="31"/>
      <c r="CT258" s="31"/>
      <c r="CU258" s="31"/>
      <c r="CV258" s="31"/>
      <c r="CW258" s="31"/>
      <c r="CX258" s="31"/>
      <c r="CY258" s="31"/>
      <c r="CZ258" s="31"/>
      <c r="DA258" s="31"/>
      <c r="DB258" s="31"/>
      <c r="DC258" s="31"/>
      <c r="DD258" s="31"/>
      <c r="DE258" s="31"/>
      <c r="DF258" s="31"/>
      <c r="DG258" s="31"/>
      <c r="DH258" s="31"/>
      <c r="DI258" s="31"/>
      <c r="DJ258" s="31"/>
      <c r="DK258" s="31"/>
      <c r="DL258" s="31"/>
      <c r="DM258" s="31"/>
      <c r="DN258" s="31"/>
      <c r="DO258" s="31"/>
      <c r="DP258" s="31"/>
      <c r="DQ258" s="31"/>
      <c r="DR258" s="31"/>
      <c r="DS258" s="31"/>
      <c r="DT258" s="31"/>
      <c r="DU258" s="31"/>
      <c r="DV258" s="31"/>
      <c r="DW258" s="31"/>
      <c r="DX258" s="31"/>
      <c r="DY258" s="31"/>
      <c r="DZ258" s="31"/>
      <c r="EA258" s="31"/>
      <c r="EB258" s="31"/>
      <c r="EC258" s="31"/>
      <c r="ED258" s="31"/>
      <c r="EE258" s="31"/>
      <c r="EF258" s="31"/>
      <c r="EG258" s="31"/>
      <c r="EH258" s="31"/>
      <c r="EI258" s="31"/>
      <c r="EJ258" s="31"/>
      <c r="EK258" s="31"/>
      <c r="EL258" s="31"/>
      <c r="EM258" s="31"/>
      <c r="EN258" s="31"/>
      <c r="EO258" s="31"/>
      <c r="EP258" s="31"/>
      <c r="EQ258" s="31"/>
      <c r="ER258" s="31"/>
      <c r="ES258" s="31"/>
      <c r="ET258" s="31"/>
      <c r="EU258" s="31"/>
      <c r="EV258" s="31"/>
      <c r="EW258" s="31"/>
      <c r="EX258" s="31"/>
      <c r="EY258" s="31"/>
      <c r="EZ258" s="31"/>
      <c r="FA258" s="31"/>
      <c r="FB258" s="31"/>
      <c r="FC258" s="31"/>
      <c r="FD258" s="31"/>
      <c r="FE258" s="31"/>
      <c r="FF258" s="31"/>
      <c r="FG258" s="31"/>
      <c r="FH258" s="31"/>
      <c r="FI258" s="31"/>
      <c r="FJ258" s="31"/>
      <c r="FK258" s="31"/>
      <c r="FL258" s="31"/>
      <c r="FM258" s="31"/>
      <c r="FN258" s="31"/>
      <c r="FO258" s="31"/>
      <c r="FP258" s="31"/>
      <c r="FQ258" s="31"/>
      <c r="FR258" s="31"/>
      <c r="FS258" s="31"/>
      <c r="FT258" s="31"/>
      <c r="FU258" s="31"/>
      <c r="FV258" s="31"/>
      <c r="FW258" s="31"/>
      <c r="FX258" s="31"/>
      <c r="FY258" s="31"/>
      <c r="FZ258" s="31"/>
      <c r="GA258" s="31"/>
      <c r="GB258" s="31"/>
      <c r="GC258" s="31"/>
      <c r="GD258" s="31"/>
      <c r="GE258" s="31"/>
      <c r="GF258" s="31"/>
      <c r="GG258" s="31"/>
      <c r="GH258" s="31"/>
      <c r="GI258" s="31"/>
      <c r="GJ258" s="31"/>
      <c r="GK258" s="31"/>
      <c r="GL258" s="31"/>
      <c r="GM258" s="31"/>
      <c r="GN258" s="31"/>
      <c r="GO258" s="31"/>
      <c r="GP258" s="31"/>
      <c r="GQ258" s="31"/>
      <c r="GR258" s="31"/>
      <c r="GS258" s="31"/>
      <c r="GT258" s="31"/>
      <c r="GU258" s="31"/>
      <c r="GV258" s="31"/>
      <c r="GW258" s="31"/>
      <c r="GX258" s="31"/>
      <c r="GY258" s="31"/>
      <c r="GZ258" s="31"/>
      <c r="HA258" s="31"/>
      <c r="HB258" s="31"/>
      <c r="HC258" s="31"/>
      <c r="HD258" s="31"/>
      <c r="HE258" s="31"/>
      <c r="HF258" s="31"/>
      <c r="HG258" s="31"/>
      <c r="HH258" s="31"/>
      <c r="HI258" s="31"/>
      <c r="HJ258" s="31"/>
      <c r="HK258" s="31"/>
      <c r="HL258" s="31"/>
      <c r="HM258" s="31"/>
      <c r="HN258" s="31"/>
      <c r="HO258" s="31"/>
      <c r="HP258" s="31"/>
      <c r="HQ258" s="31"/>
      <c r="HR258" s="31"/>
      <c r="HS258" s="31"/>
      <c r="HT258" s="31"/>
      <c r="HU258" s="31"/>
      <c r="HV258" s="31"/>
      <c r="HW258" s="31"/>
      <c r="HX258" s="31"/>
      <c r="HY258" s="31"/>
      <c r="HZ258" s="31"/>
    </row>
    <row r="259" spans="1:234" ht="14.25" customHeight="1" x14ac:dyDescent="0.35">
      <c r="A259" s="88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30"/>
      <c r="U259" s="27"/>
      <c r="V259" s="31"/>
      <c r="W259" s="31"/>
      <c r="X259" s="31"/>
      <c r="Y259" s="31"/>
      <c r="Z259" s="31"/>
      <c r="AA259" s="31"/>
      <c r="AB259" s="31"/>
      <c r="AC259" s="31"/>
      <c r="AD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1"/>
      <c r="BD259" s="31"/>
      <c r="BE259" s="31"/>
      <c r="BF259" s="31"/>
      <c r="BG259" s="31"/>
      <c r="BH259" s="31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  <c r="BS259" s="31"/>
      <c r="BT259" s="31"/>
      <c r="BU259" s="31"/>
      <c r="BV259" s="31"/>
      <c r="BW259" s="31"/>
      <c r="BX259" s="31"/>
      <c r="BY259" s="31"/>
      <c r="BZ259" s="31"/>
      <c r="CA259" s="31"/>
      <c r="CB259" s="31"/>
      <c r="CC259" s="31"/>
      <c r="CD259" s="31"/>
      <c r="CE259" s="31"/>
      <c r="CF259" s="31"/>
      <c r="CG259" s="31"/>
      <c r="CH259" s="31"/>
      <c r="CI259" s="31"/>
      <c r="CJ259" s="31"/>
      <c r="CK259" s="31"/>
      <c r="CL259" s="31"/>
      <c r="CM259" s="31"/>
      <c r="CN259" s="31"/>
      <c r="CO259" s="31"/>
      <c r="CP259" s="31"/>
      <c r="CQ259" s="31"/>
      <c r="CR259" s="31"/>
      <c r="CS259" s="31"/>
      <c r="CT259" s="31"/>
      <c r="CU259" s="31"/>
      <c r="CV259" s="31"/>
      <c r="CW259" s="31"/>
      <c r="CX259" s="31"/>
      <c r="CY259" s="31"/>
      <c r="CZ259" s="31"/>
      <c r="DA259" s="31"/>
      <c r="DB259" s="31"/>
      <c r="DC259" s="31"/>
      <c r="DD259" s="31"/>
      <c r="DE259" s="31"/>
      <c r="DF259" s="31"/>
      <c r="DG259" s="31"/>
      <c r="DH259" s="31"/>
      <c r="DI259" s="31"/>
      <c r="DJ259" s="31"/>
      <c r="DK259" s="31"/>
      <c r="DL259" s="31"/>
      <c r="DM259" s="31"/>
      <c r="DN259" s="31"/>
      <c r="DO259" s="31"/>
      <c r="DP259" s="31"/>
      <c r="DQ259" s="31"/>
      <c r="DR259" s="31"/>
      <c r="DS259" s="31"/>
      <c r="DT259" s="31"/>
      <c r="DU259" s="31"/>
      <c r="DV259" s="31"/>
      <c r="DW259" s="31"/>
      <c r="DX259" s="31"/>
      <c r="DY259" s="31"/>
      <c r="DZ259" s="31"/>
      <c r="EA259" s="31"/>
      <c r="EB259" s="31"/>
      <c r="EC259" s="31"/>
      <c r="ED259" s="31"/>
      <c r="EE259" s="31"/>
      <c r="EF259" s="31"/>
      <c r="EG259" s="31"/>
      <c r="EH259" s="31"/>
      <c r="EI259" s="31"/>
      <c r="EJ259" s="31"/>
      <c r="EK259" s="31"/>
      <c r="EL259" s="31"/>
      <c r="EM259" s="31"/>
      <c r="EN259" s="31"/>
      <c r="EO259" s="31"/>
      <c r="EP259" s="31"/>
      <c r="EQ259" s="31"/>
      <c r="ER259" s="31"/>
      <c r="ES259" s="31"/>
      <c r="ET259" s="31"/>
      <c r="EU259" s="31"/>
      <c r="EV259" s="31"/>
      <c r="EW259" s="31"/>
      <c r="EX259" s="31"/>
      <c r="EY259" s="31"/>
      <c r="EZ259" s="31"/>
      <c r="FA259" s="31"/>
      <c r="FB259" s="31"/>
      <c r="FC259" s="31"/>
      <c r="FD259" s="31"/>
      <c r="FE259" s="31"/>
      <c r="FF259" s="31"/>
      <c r="FG259" s="31"/>
      <c r="FH259" s="31"/>
      <c r="FI259" s="31"/>
      <c r="FJ259" s="31"/>
      <c r="FK259" s="31"/>
      <c r="FL259" s="31"/>
      <c r="FM259" s="31"/>
      <c r="FN259" s="31"/>
      <c r="FO259" s="31"/>
      <c r="FP259" s="31"/>
      <c r="FQ259" s="31"/>
      <c r="FR259" s="31"/>
      <c r="FS259" s="31"/>
      <c r="FT259" s="31"/>
      <c r="FU259" s="31"/>
      <c r="FV259" s="31"/>
      <c r="FW259" s="31"/>
      <c r="FX259" s="31"/>
      <c r="FY259" s="31"/>
      <c r="FZ259" s="31"/>
      <c r="GA259" s="31"/>
      <c r="GB259" s="31"/>
      <c r="GC259" s="31"/>
      <c r="GD259" s="31"/>
      <c r="GE259" s="31"/>
      <c r="GF259" s="31"/>
      <c r="GG259" s="31"/>
      <c r="GH259" s="31"/>
      <c r="GI259" s="31"/>
      <c r="GJ259" s="31"/>
      <c r="GK259" s="31"/>
      <c r="GL259" s="31"/>
      <c r="GM259" s="31"/>
      <c r="GN259" s="31"/>
      <c r="GO259" s="31"/>
      <c r="GP259" s="31"/>
      <c r="GQ259" s="31"/>
      <c r="GR259" s="31"/>
      <c r="GS259" s="31"/>
      <c r="GT259" s="31"/>
      <c r="GU259" s="31"/>
      <c r="GV259" s="31"/>
      <c r="GW259" s="31"/>
      <c r="GX259" s="31"/>
      <c r="GY259" s="31"/>
      <c r="GZ259" s="31"/>
      <c r="HA259" s="31"/>
      <c r="HB259" s="31"/>
      <c r="HC259" s="31"/>
      <c r="HD259" s="31"/>
      <c r="HE259" s="31"/>
      <c r="HF259" s="31"/>
      <c r="HG259" s="31"/>
      <c r="HH259" s="31"/>
      <c r="HI259" s="31"/>
      <c r="HJ259" s="31"/>
      <c r="HK259" s="31"/>
      <c r="HL259" s="31"/>
      <c r="HM259" s="31"/>
      <c r="HN259" s="31"/>
      <c r="HO259" s="31"/>
      <c r="HP259" s="31"/>
      <c r="HQ259" s="31"/>
      <c r="HR259" s="31"/>
      <c r="HS259" s="31"/>
      <c r="HT259" s="31"/>
      <c r="HU259" s="31"/>
      <c r="HV259" s="31"/>
      <c r="HW259" s="31"/>
      <c r="HX259" s="31"/>
      <c r="HY259" s="31"/>
      <c r="HZ259" s="31"/>
    </row>
    <row r="260" spans="1:234" ht="14.25" customHeight="1" x14ac:dyDescent="0.35">
      <c r="A260" s="88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30"/>
      <c r="U260" s="27"/>
      <c r="V260" s="31"/>
      <c r="W260" s="31"/>
      <c r="X260" s="31"/>
      <c r="Y260" s="31"/>
      <c r="Z260" s="31"/>
      <c r="AA260" s="31"/>
      <c r="AB260" s="31"/>
      <c r="AC260" s="31"/>
      <c r="AD260" s="31"/>
    </row>
    <row r="261" spans="1:234" ht="14.25" customHeight="1" x14ac:dyDescent="0.35">
      <c r="A261" s="88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T261" s="30"/>
      <c r="U261" s="27"/>
      <c r="V261" s="31"/>
      <c r="W261" s="31"/>
      <c r="X261" s="31"/>
      <c r="Y261" s="31"/>
      <c r="Z261" s="31"/>
      <c r="AA261" s="31"/>
      <c r="AB261" s="31"/>
      <c r="AD261" s="31"/>
    </row>
    <row r="262" spans="1:234" ht="14.25" customHeight="1" x14ac:dyDescent="0.35">
      <c r="A262" s="88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T262" s="30"/>
      <c r="U262" s="27"/>
      <c r="V262" s="31"/>
      <c r="W262" s="31"/>
      <c r="X262" s="31"/>
      <c r="Y262" s="31"/>
      <c r="Z262" s="31"/>
      <c r="AA262" s="31"/>
      <c r="AB262" s="31"/>
    </row>
    <row r="263" spans="1:234" ht="14.25" customHeight="1" x14ac:dyDescent="0.35">
      <c r="A263" s="88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T263" s="30"/>
      <c r="U263" s="27"/>
      <c r="V263" s="31"/>
      <c r="W263" s="31"/>
      <c r="X263" s="31"/>
      <c r="Y263" s="31"/>
      <c r="Z263" s="31"/>
      <c r="AA263" s="31"/>
      <c r="AB263" s="31"/>
    </row>
    <row r="264" spans="1:234" ht="14.25" customHeight="1" x14ac:dyDescent="0.35">
      <c r="A264" s="88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T264" s="30"/>
      <c r="U264" s="27"/>
      <c r="V264" s="31"/>
      <c r="W264" s="31"/>
      <c r="X264" s="31"/>
      <c r="Y264" s="31"/>
      <c r="Z264" s="31"/>
      <c r="AA264" s="31"/>
      <c r="AB264" s="31"/>
    </row>
    <row r="265" spans="1:234" ht="14.25" customHeight="1" x14ac:dyDescent="0.35">
      <c r="A265" s="88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T265" s="30"/>
      <c r="U265" s="27"/>
      <c r="V265" s="31"/>
      <c r="W265" s="31"/>
      <c r="X265" s="31"/>
      <c r="Y265" s="31"/>
      <c r="Z265" s="31"/>
      <c r="AA265" s="31"/>
      <c r="AB265" s="31"/>
    </row>
    <row r="266" spans="1:234" ht="14.25" customHeight="1" x14ac:dyDescent="0.35">
      <c r="A266" s="88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T266" s="30"/>
      <c r="U266" s="27"/>
      <c r="V266" s="31"/>
      <c r="W266" s="31"/>
      <c r="X266" s="31"/>
      <c r="Y266" s="31"/>
      <c r="Z266" s="31"/>
      <c r="AA266" s="31"/>
      <c r="AB266" s="31"/>
    </row>
    <row r="267" spans="1:234" ht="14.25" customHeight="1" x14ac:dyDescent="0.35">
      <c r="A267" s="88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T267" s="30"/>
      <c r="U267" s="27"/>
      <c r="V267" s="31"/>
      <c r="W267" s="31"/>
      <c r="X267" s="31"/>
      <c r="Y267" s="31"/>
      <c r="Z267" s="31"/>
      <c r="AA267" s="31"/>
      <c r="AB267" s="31"/>
    </row>
    <row r="268" spans="1:234" ht="14.25" customHeight="1" x14ac:dyDescent="0.35">
      <c r="A268" s="88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T268" s="30"/>
      <c r="U268" s="27"/>
      <c r="V268" s="31"/>
      <c r="W268" s="31"/>
      <c r="X268" s="31"/>
      <c r="Y268" s="31"/>
      <c r="Z268" s="31"/>
      <c r="AA268" s="31"/>
      <c r="AB268" s="31"/>
    </row>
    <row r="269" spans="1:234" ht="14.25" customHeight="1" x14ac:dyDescent="0.35">
      <c r="A269" s="88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T269" s="89"/>
      <c r="U269" s="27"/>
      <c r="V269" s="31"/>
      <c r="W269" s="31"/>
      <c r="X269" s="31"/>
      <c r="Y269" s="31"/>
      <c r="Z269" s="31"/>
      <c r="AA269" s="31"/>
      <c r="AB269" s="31"/>
    </row>
    <row r="270" spans="1:234" ht="14.25" customHeight="1" x14ac:dyDescent="0.35">
      <c r="A270" s="88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U270" s="27"/>
      <c r="V270" s="31"/>
      <c r="W270" s="31"/>
      <c r="X270" s="31"/>
      <c r="Y270" s="31"/>
      <c r="Z270" s="31"/>
      <c r="AA270" s="31"/>
      <c r="AB270" s="31"/>
    </row>
    <row r="271" spans="1:234" ht="14.25" customHeight="1" x14ac:dyDescent="0.35">
      <c r="A271" s="88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AB271" s="31"/>
    </row>
    <row r="272" spans="1:234" ht="14.25" customHeight="1" x14ac:dyDescent="0.35">
      <c r="A272" s="88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</row>
    <row r="273" spans="1:18" ht="15" customHeight="1" x14ac:dyDescent="0.35">
      <c r="A273" s="88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</row>
    <row r="274" spans="1:18" ht="15" customHeight="1" x14ac:dyDescent="0.35">
      <c r="A274" s="88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</row>
    <row r="275" spans="1:18" ht="15" customHeight="1" x14ac:dyDescent="0.35">
      <c r="A275" s="88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</row>
    <row r="276" spans="1:18" ht="15" customHeight="1" x14ac:dyDescent="0.35">
      <c r="A276" s="88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</row>
    <row r="277" spans="1:18" ht="15" customHeight="1" x14ac:dyDescent="0.35">
      <c r="A277" s="88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</row>
  </sheetData>
  <conditionalFormatting sqref="B19:R19">
    <cfRule type="cellIs" dxfId="30" priority="2" stopIfTrue="1" operator="lessThan">
      <formula>0</formula>
    </cfRule>
  </conditionalFormatting>
  <conditionalFormatting sqref="B7:R7">
    <cfRule type="cellIs" dxfId="29" priority="1" stopIfTrue="1" operator="lessThan">
      <formula>0</formula>
    </cfRule>
  </conditionalFormatting>
  <conditionalFormatting sqref="B75:R75">
    <cfRule type="cellIs" dxfId="28" priority="3" stopIfTrue="1" operator="lessThan">
      <formula>0</formula>
    </cfRule>
  </conditionalFormatting>
  <pageMargins left="0" right="0" top="0.51181102362204722" bottom="0.23622047244094491" header="0" footer="0"/>
  <pageSetup paperSize="9" scale="70" orientation="landscape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F8" sqref="F7:F8"/>
    </sheetView>
  </sheetViews>
  <sheetFormatPr baseColWidth="10" defaultColWidth="14" defaultRowHeight="15" customHeight="1" x14ac:dyDescent="0.35"/>
  <cols>
    <col min="1" max="1" width="16.453125" bestFit="1" customWidth="1"/>
    <col min="2" max="2" width="33.7265625" bestFit="1" customWidth="1"/>
    <col min="3" max="3" width="12.453125" bestFit="1" customWidth="1"/>
    <col min="4" max="26" width="10.81640625" customWidth="1"/>
  </cols>
  <sheetData>
    <row r="1" spans="1:4" ht="14.25" customHeight="1" x14ac:dyDescent="0.35">
      <c r="A1" s="90" t="s">
        <v>1</v>
      </c>
      <c r="B1" s="91" t="s">
        <v>120</v>
      </c>
      <c r="C1" s="92" t="s">
        <v>119</v>
      </c>
      <c r="D1" s="93"/>
    </row>
    <row r="2" spans="1:4" ht="14.25" customHeight="1" x14ac:dyDescent="0.35">
      <c r="A2" s="94" t="s">
        <v>10</v>
      </c>
      <c r="B2" s="95" t="s">
        <v>121</v>
      </c>
      <c r="C2" s="96">
        <v>901510175</v>
      </c>
      <c r="D2" s="96"/>
    </row>
    <row r="3" spans="1:4" ht="14.25" customHeight="1" x14ac:dyDescent="0.35">
      <c r="A3" s="94" t="s">
        <v>13</v>
      </c>
      <c r="B3" s="95" t="s">
        <v>122</v>
      </c>
      <c r="C3" s="97">
        <v>70190607</v>
      </c>
      <c r="D3" s="96"/>
    </row>
    <row r="4" spans="1:4" ht="14.25" customHeight="1" x14ac:dyDescent="0.35">
      <c r="A4" s="94" t="s">
        <v>12</v>
      </c>
      <c r="B4" s="95" t="s">
        <v>122</v>
      </c>
      <c r="C4" s="96">
        <v>70190607</v>
      </c>
      <c r="D4" s="96"/>
    </row>
    <row r="5" spans="1:4" ht="14.25" customHeight="1" x14ac:dyDescent="0.35">
      <c r="A5" s="94" t="s">
        <v>11</v>
      </c>
      <c r="B5" s="95" t="s">
        <v>123</v>
      </c>
      <c r="C5" s="96">
        <v>901461017</v>
      </c>
    </row>
    <row r="6" spans="1:4" ht="14.25" customHeight="1" x14ac:dyDescent="0.35">
      <c r="A6" s="94" t="s">
        <v>14</v>
      </c>
      <c r="B6" s="95" t="s">
        <v>124</v>
      </c>
      <c r="C6" s="96">
        <v>811045379</v>
      </c>
    </row>
    <row r="7" spans="1:4" ht="14.25" customHeight="1" x14ac:dyDescent="0.35">
      <c r="A7" s="94" t="s">
        <v>18</v>
      </c>
      <c r="B7" s="95" t="s">
        <v>122</v>
      </c>
      <c r="C7" s="96">
        <v>70190607</v>
      </c>
    </row>
    <row r="8" spans="1:4" ht="14.25" customHeight="1" x14ac:dyDescent="0.35">
      <c r="A8" s="94" t="s">
        <v>15</v>
      </c>
      <c r="B8" s="95" t="s">
        <v>127</v>
      </c>
      <c r="C8" t="s">
        <v>132</v>
      </c>
    </row>
    <row r="9" spans="1:4" ht="14.25" customHeight="1" x14ac:dyDescent="0.35">
      <c r="A9" s="94" t="s">
        <v>17</v>
      </c>
      <c r="B9" s="95" t="s">
        <v>127</v>
      </c>
      <c r="C9" t="s">
        <v>132</v>
      </c>
    </row>
    <row r="10" spans="1:4" ht="14.25" customHeight="1" x14ac:dyDescent="0.35">
      <c r="A10" s="94" t="s">
        <v>24</v>
      </c>
      <c r="B10" s="95" t="s">
        <v>127</v>
      </c>
      <c r="C10" t="s">
        <v>132</v>
      </c>
    </row>
    <row r="11" spans="1:4" ht="14.25" customHeight="1" x14ac:dyDescent="0.35">
      <c r="A11" s="94" t="s">
        <v>16</v>
      </c>
      <c r="B11" s="95" t="s">
        <v>128</v>
      </c>
      <c r="C11" t="s">
        <v>134</v>
      </c>
    </row>
    <row r="12" spans="1:4" ht="14.25" customHeight="1" x14ac:dyDescent="0.35">
      <c r="A12" s="98" t="s">
        <v>138</v>
      </c>
      <c r="B12" s="95" t="s">
        <v>129</v>
      </c>
      <c r="C12" s="99" t="s">
        <v>135</v>
      </c>
    </row>
    <row r="13" spans="1:4" ht="14.25" customHeight="1" x14ac:dyDescent="0.35">
      <c r="A13" s="94" t="s">
        <v>21</v>
      </c>
      <c r="B13" s="95" t="s">
        <v>129</v>
      </c>
      <c r="C13" s="99" t="s">
        <v>135</v>
      </c>
    </row>
    <row r="14" spans="1:4" ht="14.25" customHeight="1" x14ac:dyDescent="0.35">
      <c r="A14" s="94" t="s">
        <v>9</v>
      </c>
      <c r="B14" s="95" t="s">
        <v>130</v>
      </c>
      <c r="C14" t="s">
        <v>136</v>
      </c>
    </row>
    <row r="15" spans="1:4" ht="14.25" customHeight="1" x14ac:dyDescent="0.35">
      <c r="A15" s="94" t="s">
        <v>19</v>
      </c>
      <c r="B15" s="95" t="s">
        <v>131</v>
      </c>
      <c r="C15" t="s">
        <v>133</v>
      </c>
    </row>
    <row r="16" spans="1:4" ht="14.25" customHeight="1" x14ac:dyDescent="0.35">
      <c r="A16" s="94" t="s">
        <v>23</v>
      </c>
      <c r="B16" s="95" t="s">
        <v>139</v>
      </c>
      <c r="C16" t="s">
        <v>137</v>
      </c>
    </row>
    <row r="17" spans="1:3" ht="14.25" customHeight="1" x14ac:dyDescent="0.35">
      <c r="A17" s="94" t="s">
        <v>20</v>
      </c>
      <c r="B17" s="95" t="s">
        <v>140</v>
      </c>
      <c r="C17" t="s">
        <v>141</v>
      </c>
    </row>
    <row r="18" spans="1:3" ht="14.25" customHeight="1" x14ac:dyDescent="0.35">
      <c r="A18" s="94"/>
    </row>
    <row r="19" spans="1:3" ht="14.25" customHeight="1" x14ac:dyDescent="0.35">
      <c r="A19" s="94"/>
    </row>
    <row r="20" spans="1:3" ht="14.25" customHeight="1" x14ac:dyDescent="0.35">
      <c r="A20" s="94"/>
    </row>
    <row r="21" spans="1:3" ht="14.25" customHeight="1" x14ac:dyDescent="0.35">
      <c r="A21" s="94"/>
    </row>
    <row r="22" spans="1:3" ht="14.25" customHeight="1" x14ac:dyDescent="0.35">
      <c r="A22" s="94"/>
    </row>
    <row r="23" spans="1:3" ht="14.25" customHeight="1" x14ac:dyDescent="0.35"/>
    <row r="24" spans="1:3" ht="14.25" customHeight="1" x14ac:dyDescent="0.35"/>
    <row r="25" spans="1:3" ht="14.25" customHeight="1" x14ac:dyDescent="0.35"/>
    <row r="26" spans="1:3" ht="14.25" customHeight="1" x14ac:dyDescent="0.35"/>
    <row r="27" spans="1:3" ht="14.25" customHeight="1" x14ac:dyDescent="0.35"/>
    <row r="28" spans="1:3" ht="14.25" customHeight="1" x14ac:dyDescent="0.35"/>
    <row r="29" spans="1:3" ht="14.25" customHeight="1" x14ac:dyDescent="0.35"/>
    <row r="30" spans="1:3" ht="14.25" customHeight="1" x14ac:dyDescent="0.35"/>
    <row r="31" spans="1:3" ht="14.25" customHeight="1" x14ac:dyDescent="0.35"/>
    <row r="32" spans="1:3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paperSize="9" fitToWidth="0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72"/>
  <sheetViews>
    <sheetView showGridLines="0" workbookViewId="0">
      <selection activeCell="B14" sqref="B14"/>
    </sheetView>
  </sheetViews>
  <sheetFormatPr baseColWidth="10" defaultColWidth="18" defaultRowHeight="15" customHeight="1" x14ac:dyDescent="0.35"/>
  <cols>
    <col min="1" max="1" width="16.36328125" bestFit="1" customWidth="1"/>
    <col min="2" max="2" width="12.90625" bestFit="1" customWidth="1"/>
    <col min="3" max="3" width="22.1796875" bestFit="1" customWidth="1"/>
    <col min="4" max="4" width="12.81640625" bestFit="1" customWidth="1"/>
    <col min="5" max="5" width="17.1796875" bestFit="1" customWidth="1"/>
    <col min="6" max="6" width="13.453125" bestFit="1" customWidth="1"/>
    <col min="7" max="7" width="11.81640625" bestFit="1" customWidth="1"/>
    <col min="8" max="9" width="11.453125" bestFit="1" customWidth="1"/>
    <col min="10" max="10" width="11.7265625" bestFit="1" customWidth="1"/>
    <col min="11" max="11" width="11.453125" bestFit="1" customWidth="1"/>
    <col min="12" max="12" width="12.453125" bestFit="1" customWidth="1"/>
    <col min="13" max="13" width="22.81640625" bestFit="1" customWidth="1"/>
    <col min="14" max="14" width="20.7265625" bestFit="1" customWidth="1"/>
    <col min="15" max="15" width="22.81640625" bestFit="1" customWidth="1"/>
    <col min="16" max="16" width="20.7265625" bestFit="1" customWidth="1"/>
    <col min="17" max="17" width="22.81640625" bestFit="1" customWidth="1"/>
    <col min="18" max="18" width="20.7265625" bestFit="1" customWidth="1"/>
    <col min="19" max="19" width="22.81640625" bestFit="1" customWidth="1"/>
    <col min="20" max="20" width="20.7265625" bestFit="1" customWidth="1"/>
    <col min="21" max="21" width="22.81640625" bestFit="1" customWidth="1"/>
    <col min="22" max="22" width="25.453125" bestFit="1" customWidth="1"/>
    <col min="23" max="23" width="27.453125" bestFit="1" customWidth="1"/>
  </cols>
  <sheetData>
    <row r="1" spans="1:5" ht="14.25" customHeight="1" x14ac:dyDescent="0.35"/>
    <row r="2" spans="1:5" ht="14.25" customHeight="1" x14ac:dyDescent="0.35"/>
    <row r="3" spans="1:5" ht="14.25" customHeight="1" x14ac:dyDescent="0.35"/>
    <row r="4" spans="1:5" ht="14.25" customHeight="1" x14ac:dyDescent="0.35">
      <c r="A4" s="135" t="s">
        <v>201</v>
      </c>
      <c r="B4" s="135"/>
      <c r="C4" s="135"/>
      <c r="D4" s="100"/>
      <c r="E4" s="100"/>
    </row>
    <row r="5" spans="1:5" ht="14.25" customHeight="1" x14ac:dyDescent="0.35"/>
    <row r="6" spans="1:5" ht="14.5" x14ac:dyDescent="0.35">
      <c r="B6" s="116" t="s">
        <v>224</v>
      </c>
    </row>
    <row r="7" spans="1:5" ht="14.5" x14ac:dyDescent="0.35">
      <c r="A7" s="116" t="s">
        <v>142</v>
      </c>
      <c r="B7" t="s">
        <v>117</v>
      </c>
      <c r="C7" t="s">
        <v>145</v>
      </c>
    </row>
    <row r="8" spans="1:5" ht="14.5" x14ac:dyDescent="0.35">
      <c r="A8" s="117" t="s">
        <v>22</v>
      </c>
      <c r="B8" s="121">
        <v>226.29000000000005</v>
      </c>
      <c r="C8" s="118">
        <v>29827000</v>
      </c>
    </row>
    <row r="9" spans="1:5" ht="14.5" x14ac:dyDescent="0.35">
      <c r="A9" s="117" t="s">
        <v>156</v>
      </c>
      <c r="B9" s="121">
        <v>126.67</v>
      </c>
      <c r="C9" s="118">
        <v>11733600</v>
      </c>
    </row>
    <row r="10" spans="1:5" ht="14.25" customHeight="1" x14ac:dyDescent="0.35">
      <c r="A10" s="117" t="s">
        <v>157</v>
      </c>
      <c r="B10" s="121">
        <v>209.39</v>
      </c>
      <c r="C10" s="118">
        <v>38779200</v>
      </c>
    </row>
    <row r="11" spans="1:5" ht="14.25" customHeight="1" x14ac:dyDescent="0.35">
      <c r="A11" s="117" t="s">
        <v>158</v>
      </c>
      <c r="B11" s="121">
        <v>296</v>
      </c>
      <c r="C11" s="118">
        <v>54356000</v>
      </c>
    </row>
    <row r="12" spans="1:5" ht="14.25" customHeight="1" x14ac:dyDescent="0.35">
      <c r="A12" s="117" t="s">
        <v>159</v>
      </c>
      <c r="B12" s="121">
        <v>158.9</v>
      </c>
      <c r="C12" s="118">
        <v>19068000</v>
      </c>
    </row>
    <row r="13" spans="1:5" ht="14.25" customHeight="1" x14ac:dyDescent="0.35">
      <c r="A13" s="117" t="s">
        <v>118</v>
      </c>
      <c r="B13" s="121">
        <v>1017.25</v>
      </c>
      <c r="C13" s="118">
        <v>153763800</v>
      </c>
    </row>
    <row r="14" spans="1:5" ht="14.25" customHeight="1" x14ac:dyDescent="0.35"/>
    <row r="15" spans="1:5" ht="14.25" customHeight="1" x14ac:dyDescent="0.35"/>
    <row r="16" spans="1:5" ht="14.25" customHeight="1" x14ac:dyDescent="0.35"/>
    <row r="17" spans="1:3" ht="14.25" customHeight="1" x14ac:dyDescent="0.35"/>
    <row r="18" spans="1:3" ht="14.25" customHeight="1" x14ac:dyDescent="0.35">
      <c r="A18" s="23"/>
      <c r="B18" s="3"/>
      <c r="C18" s="25"/>
    </row>
    <row r="19" spans="1:3" ht="14.25" customHeight="1" x14ac:dyDescent="0.35">
      <c r="A19" s="23"/>
      <c r="B19" s="3"/>
      <c r="C19" s="25"/>
    </row>
    <row r="20" spans="1:3" ht="14.25" customHeight="1" x14ac:dyDescent="0.35">
      <c r="A20" s="23"/>
      <c r="B20" s="101"/>
    </row>
    <row r="21" spans="1:3" ht="14.25" customHeight="1" x14ac:dyDescent="0.35">
      <c r="A21" s="23"/>
      <c r="B21" s="102"/>
    </row>
    <row r="22" spans="1:3" ht="14.25" customHeight="1" x14ac:dyDescent="0.35">
      <c r="A22" s="23"/>
      <c r="B22" s="102"/>
    </row>
    <row r="23" spans="1:3" ht="14.25" customHeight="1" x14ac:dyDescent="0.35"/>
    <row r="24" spans="1:3" ht="14.25" customHeight="1" x14ac:dyDescent="0.35">
      <c r="A24" s="23"/>
      <c r="B24" s="25"/>
    </row>
    <row r="25" spans="1:3" ht="14.25" customHeight="1" x14ac:dyDescent="0.35"/>
    <row r="26" spans="1:3" ht="14.25" customHeight="1" x14ac:dyDescent="0.35">
      <c r="A26" s="23"/>
      <c r="B26" s="25"/>
    </row>
    <row r="27" spans="1:3" ht="14.25" customHeight="1" x14ac:dyDescent="0.35">
      <c r="A27" s="103"/>
      <c r="B27" s="25"/>
    </row>
    <row r="28" spans="1:3" ht="14.25" customHeight="1" x14ac:dyDescent="0.35">
      <c r="A28" s="135" t="s">
        <v>200</v>
      </c>
      <c r="B28" s="135"/>
      <c r="C28" s="135"/>
    </row>
    <row r="29" spans="1:3" ht="14.25" customHeight="1" x14ac:dyDescent="0.35">
      <c r="B29" s="25"/>
    </row>
    <row r="30" spans="1:3" ht="14.5" x14ac:dyDescent="0.35">
      <c r="A30" s="116" t="s">
        <v>142</v>
      </c>
      <c r="B30" t="s">
        <v>199</v>
      </c>
    </row>
    <row r="31" spans="1:3" ht="14.5" x14ac:dyDescent="0.35">
      <c r="A31" s="117" t="s">
        <v>204</v>
      </c>
      <c r="B31" s="120">
        <v>0.89379310344827567</v>
      </c>
    </row>
    <row r="32" spans="1:3" ht="14.5" x14ac:dyDescent="0.35">
      <c r="A32" s="117" t="s">
        <v>118</v>
      </c>
      <c r="B32" s="120">
        <v>0.89379310344827567</v>
      </c>
    </row>
    <row r="33" spans="1:2" ht="14.25" customHeight="1" x14ac:dyDescent="0.35"/>
    <row r="34" spans="1:2" ht="14.25" customHeight="1" x14ac:dyDescent="0.35"/>
    <row r="35" spans="1:2" ht="14.25" customHeight="1" x14ac:dyDescent="0.35"/>
    <row r="36" spans="1:2" ht="14.25" customHeight="1" x14ac:dyDescent="0.35"/>
    <row r="37" spans="1:2" ht="14.25" customHeight="1" x14ac:dyDescent="0.35"/>
    <row r="38" spans="1:2" ht="14.25" customHeight="1" x14ac:dyDescent="0.35"/>
    <row r="39" spans="1:2" ht="14.25" customHeight="1" x14ac:dyDescent="0.35"/>
    <row r="40" spans="1:2" ht="14.25" customHeight="1" x14ac:dyDescent="0.35"/>
    <row r="41" spans="1:2" ht="14.5" x14ac:dyDescent="0.35">
      <c r="A41" s="116" t="s">
        <v>142</v>
      </c>
      <c r="B41" t="s">
        <v>145</v>
      </c>
    </row>
    <row r="42" spans="1:2" ht="14.5" x14ac:dyDescent="0.35">
      <c r="A42" s="117" t="s">
        <v>118</v>
      </c>
      <c r="B42" s="119"/>
    </row>
    <row r="43" spans="1:2" ht="14.25" customHeight="1" x14ac:dyDescent="0.35"/>
    <row r="44" spans="1:2" ht="14.25" customHeight="1" x14ac:dyDescent="0.35"/>
    <row r="45" spans="1:2" ht="14.25" customHeight="1" x14ac:dyDescent="0.35"/>
    <row r="46" spans="1:2" ht="14.25" customHeight="1" x14ac:dyDescent="0.35"/>
    <row r="47" spans="1:2" ht="14.25" customHeight="1" x14ac:dyDescent="0.35"/>
    <row r="48" spans="1:2" ht="14.25" customHeight="1" x14ac:dyDescent="0.35"/>
    <row r="49" spans="1:2" ht="14.25" customHeight="1" x14ac:dyDescent="0.35"/>
    <row r="50" spans="1:2" ht="14.25" customHeight="1" x14ac:dyDescent="0.35"/>
    <row r="51" spans="1:2" ht="14.25" customHeight="1" x14ac:dyDescent="0.35"/>
    <row r="52" spans="1:2" ht="14.25" customHeight="1" x14ac:dyDescent="0.35"/>
    <row r="53" spans="1:2" ht="14.25" customHeight="1" x14ac:dyDescent="0.35">
      <c r="A53" s="100"/>
    </row>
    <row r="54" spans="1:2" ht="14.25" customHeight="1" x14ac:dyDescent="0.35">
      <c r="A54" s="104" t="s">
        <v>202</v>
      </c>
      <c r="B54" s="3">
        <f>+'[1]PROGRAMADO OCTUBRE'!$AH$27</f>
        <v>653</v>
      </c>
    </row>
    <row r="55" spans="1:2" ht="14.25" customHeight="1" x14ac:dyDescent="0.35">
      <c r="A55" s="104" t="s">
        <v>203</v>
      </c>
      <c r="B55" s="105" t="e">
        <f>+GETPIVOTDATA("AREA",Resumen!#REF!)</f>
        <v>#REF!</v>
      </c>
    </row>
    <row r="56" spans="1:2" ht="14.25" customHeight="1" x14ac:dyDescent="0.35"/>
    <row r="57" spans="1:2" ht="14.25" customHeight="1" x14ac:dyDescent="0.35"/>
    <row r="58" spans="1:2" ht="14.25" customHeight="1" x14ac:dyDescent="0.35"/>
    <row r="59" spans="1:2" ht="14.25" customHeight="1" x14ac:dyDescent="0.35"/>
    <row r="60" spans="1:2" ht="14.25" customHeight="1" x14ac:dyDescent="0.35"/>
    <row r="61" spans="1:2" ht="14.25" customHeight="1" x14ac:dyDescent="0.35"/>
    <row r="62" spans="1:2" ht="14.25" customHeight="1" x14ac:dyDescent="0.35"/>
    <row r="63" spans="1:2" ht="14.25" customHeight="1" x14ac:dyDescent="0.35"/>
    <row r="64" spans="1:2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</sheetData>
  <mergeCells count="2">
    <mergeCell ref="A28:C28"/>
    <mergeCell ref="A4:C4"/>
  </mergeCells>
  <pageMargins left="0.7" right="0.7" top="0.75" bottom="0.75" header="0" footer="0"/>
  <pageSetup paperSize="9" fitToWidth="0" fitToHeight="0" orientation="landscape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G16"/>
  <sheetViews>
    <sheetView workbookViewId="0">
      <selection activeCell="C20" sqref="C20"/>
    </sheetView>
  </sheetViews>
  <sheetFormatPr baseColWidth="10" defaultColWidth="10" defaultRowHeight="14.5" x14ac:dyDescent="0.35"/>
  <cols>
    <col min="2" max="2" width="22.7265625" bestFit="1" customWidth="1"/>
    <col min="3" max="3" width="14.453125" bestFit="1" customWidth="1"/>
    <col min="4" max="4" width="10.453125" style="25" bestFit="1" customWidth="1"/>
    <col min="5" max="5" width="12" bestFit="1" customWidth="1"/>
    <col min="6" max="6" width="23.1796875" bestFit="1" customWidth="1"/>
    <col min="7" max="7" width="14.7265625" bestFit="1" customWidth="1"/>
    <col min="8" max="8" width="20" bestFit="1" customWidth="1"/>
    <col min="9" max="9" width="14.26953125" bestFit="1" customWidth="1"/>
    <col min="10" max="11" width="14.453125" bestFit="1" customWidth="1"/>
    <col min="12" max="12" width="20" bestFit="1" customWidth="1"/>
    <col min="13" max="13" width="18.7265625" bestFit="1" customWidth="1"/>
    <col min="14" max="14" width="21.81640625" bestFit="1" customWidth="1"/>
    <col min="15" max="16" width="15.7265625" bestFit="1" customWidth="1"/>
    <col min="17" max="17" width="22.453125" bestFit="1" customWidth="1"/>
    <col min="18" max="18" width="16.26953125" bestFit="1" customWidth="1"/>
    <col min="19" max="19" width="33.81640625" bestFit="1" customWidth="1"/>
    <col min="20" max="20" width="14.81640625" bestFit="1" customWidth="1"/>
    <col min="21" max="21" width="15.7265625" bestFit="1" customWidth="1"/>
    <col min="22" max="22" width="10.1796875" bestFit="1" customWidth="1"/>
    <col min="23" max="23" width="14.453125" bestFit="1" customWidth="1"/>
    <col min="24" max="24" width="12.81640625" bestFit="1" customWidth="1"/>
    <col min="25" max="25" width="19.1796875" bestFit="1" customWidth="1"/>
    <col min="26" max="26" width="14.81640625" bestFit="1" customWidth="1"/>
    <col min="27" max="27" width="8.26953125" bestFit="1" customWidth="1"/>
    <col min="28" max="28" width="10" bestFit="1" customWidth="1"/>
    <col min="29" max="29" width="11.7265625" bestFit="1" customWidth="1"/>
  </cols>
  <sheetData>
    <row r="1" spans="2:7" x14ac:dyDescent="0.35">
      <c r="B1" s="106" t="s">
        <v>1</v>
      </c>
      <c r="C1" s="106" t="s">
        <v>126</v>
      </c>
      <c r="D1" s="107" t="s">
        <v>143</v>
      </c>
      <c r="E1" s="108" t="s">
        <v>191</v>
      </c>
      <c r="F1" s="108" t="s">
        <v>192</v>
      </c>
      <c r="G1" s="126" t="s">
        <v>242</v>
      </c>
    </row>
    <row r="2" spans="2:7" x14ac:dyDescent="0.35">
      <c r="B2" t="s">
        <v>243</v>
      </c>
    </row>
    <row r="3" spans="2:7" x14ac:dyDescent="0.35">
      <c r="B3" t="s">
        <v>244</v>
      </c>
      <c r="E3" s="3"/>
    </row>
    <row r="4" spans="2:7" x14ac:dyDescent="0.35">
      <c r="B4" t="s">
        <v>245</v>
      </c>
      <c r="E4" s="3"/>
    </row>
    <row r="5" spans="2:7" x14ac:dyDescent="0.35">
      <c r="B5" t="s">
        <v>246</v>
      </c>
      <c r="E5" s="3"/>
    </row>
    <row r="6" spans="2:7" x14ac:dyDescent="0.35">
      <c r="B6" t="s">
        <v>247</v>
      </c>
      <c r="E6" s="3"/>
    </row>
    <row r="7" spans="2:7" x14ac:dyDescent="0.35">
      <c r="B7" t="s">
        <v>248</v>
      </c>
      <c r="E7" s="3"/>
    </row>
    <row r="8" spans="2:7" x14ac:dyDescent="0.35">
      <c r="B8" t="s">
        <v>249</v>
      </c>
      <c r="E8" s="3"/>
    </row>
    <row r="9" spans="2:7" x14ac:dyDescent="0.35">
      <c r="B9" t="s">
        <v>250</v>
      </c>
      <c r="C9" t="s">
        <v>213</v>
      </c>
      <c r="D9" s="25">
        <v>120000</v>
      </c>
      <c r="E9" s="3"/>
    </row>
    <row r="10" spans="2:7" x14ac:dyDescent="0.35">
      <c r="B10" t="s">
        <v>251</v>
      </c>
      <c r="C10" t="s">
        <v>213</v>
      </c>
      <c r="D10" s="25">
        <v>120000</v>
      </c>
      <c r="E10" s="3"/>
    </row>
    <row r="11" spans="2:7" x14ac:dyDescent="0.35">
      <c r="E11" s="3"/>
    </row>
    <row r="12" spans="2:7" x14ac:dyDescent="0.35">
      <c r="E12" s="3"/>
    </row>
    <row r="13" spans="2:7" x14ac:dyDescent="0.35">
      <c r="E13" s="3"/>
    </row>
    <row r="14" spans="2:7" x14ac:dyDescent="0.35">
      <c r="E14" s="3"/>
    </row>
    <row r="15" spans="2:7" x14ac:dyDescent="0.35">
      <c r="E15" s="3"/>
    </row>
    <row r="16" spans="2:7" x14ac:dyDescent="0.35">
      <c r="C16" t="s">
        <v>241</v>
      </c>
      <c r="D16" s="25">
        <v>250000</v>
      </c>
      <c r="E16" s="3">
        <v>3104691073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D1:F6"/>
  <sheetViews>
    <sheetView topLeftCell="C1" workbookViewId="0">
      <selection activeCell="E10" sqref="E10"/>
    </sheetView>
  </sheetViews>
  <sheetFormatPr baseColWidth="10" defaultColWidth="10" defaultRowHeight="14.5" x14ac:dyDescent="0.35"/>
  <cols>
    <col min="4" max="4" width="16.54296875" bestFit="1" customWidth="1"/>
    <col min="5" max="5" width="14.08984375" bestFit="1" customWidth="1"/>
    <col min="6" max="7" width="22.1796875" bestFit="1" customWidth="1"/>
  </cols>
  <sheetData>
    <row r="1" spans="4:6" x14ac:dyDescent="0.35">
      <c r="D1" s="116" t="s">
        <v>1</v>
      </c>
      <c r="E1" t="s">
        <v>255</v>
      </c>
    </row>
    <row r="3" spans="4:6" x14ac:dyDescent="0.35">
      <c r="D3" s="116" t="s">
        <v>142</v>
      </c>
      <c r="E3" t="s">
        <v>117</v>
      </c>
      <c r="F3" s="127" t="s">
        <v>145</v>
      </c>
    </row>
    <row r="4" spans="4:6" x14ac:dyDescent="0.35">
      <c r="D4" s="117">
        <v>250000</v>
      </c>
      <c r="E4" s="128">
        <v>13.1</v>
      </c>
      <c r="F4" s="127">
        <v>3275000</v>
      </c>
    </row>
    <row r="5" spans="4:6" x14ac:dyDescent="0.35">
      <c r="D5" s="117">
        <v>280000</v>
      </c>
      <c r="E5" s="128">
        <v>32.489999999999995</v>
      </c>
      <c r="F5" s="127">
        <v>9097200</v>
      </c>
    </row>
    <row r="6" spans="4:6" x14ac:dyDescent="0.35">
      <c r="D6" s="117" t="s">
        <v>118</v>
      </c>
      <c r="E6" s="128">
        <v>45.589999999999996</v>
      </c>
      <c r="F6" s="127">
        <v>12372200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PROGRAMACIÓN</vt:lpstr>
      <vt:lpstr>Resumen</vt:lpstr>
      <vt:lpstr>FLUJO REAL</vt:lpstr>
      <vt:lpstr>NIT-FINCA</vt:lpstr>
      <vt:lpstr>INFORME</vt:lpstr>
      <vt:lpstr>CLIENTES</vt:lpstr>
      <vt:lpstr>FACTURACIÓN X FINCA</vt:lpstr>
      <vt:lpstr>CLIENTES</vt:lpstr>
      <vt:lpstr>TECNOVANT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Betancourt zuluaga</dc:creator>
  <cp:lastModifiedBy>Juan Carlos Betancourt zuluaga</cp:lastModifiedBy>
  <dcterms:created xsi:type="dcterms:W3CDTF">2024-09-27T15:11:19Z</dcterms:created>
  <dcterms:modified xsi:type="dcterms:W3CDTF">2026-07-13T22:21:53Z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a72f858d0b9248408ae13bae880667e7</vt:lpwstr>
  </property>
</Properties>
</file>